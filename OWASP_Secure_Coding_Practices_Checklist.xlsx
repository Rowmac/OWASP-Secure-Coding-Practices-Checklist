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25ABC77-5710-4B34-A28D-441B0BEB67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cure Coding Checklist" sheetId="1" r:id="rId1"/>
    <sheet name="Summary" sheetId="2" r:id="rId2"/>
  </sheets>
  <definedNames>
    <definedName name="_xlnm._FilterDatabase" localSheetId="0" hidden="1">'Secure Coding Checklist'!$A$9:$G$227</definedName>
    <definedName name="_xlnm.Print_Titles" localSheetId="0">'Secure Coding Checklist'!$1:$9</definedName>
  </definedNames>
  <calcPr calcId="191029"/>
  <fileRecoveryPr repairLoad="1"/>
</workbook>
</file>

<file path=xl/calcChain.xml><?xml version="1.0" encoding="utf-8"?>
<calcChain xmlns="http://schemas.openxmlformats.org/spreadsheetml/2006/main">
  <c r="D27" i="2" l="1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<sst xmlns="http://schemas.openxmlformats.org/spreadsheetml/2006/main" count="1131" uniqueCount="475">
  <si>
    <t>OWASP Secure Coding Practices Checklist</t>
  </si>
  <si>
    <t>Use the Pass Mark column as a checkbox: change ☐ to ☑ when the control is verified as implemented. Select the Status from the dropdown and record evidence or comments.</t>
  </si>
  <si>
    <t>Application / Project</t>
  </si>
  <si>
    <t>Repository / Version</t>
  </si>
  <si>
    <t>Engineer / Reviewer</t>
  </si>
  <si>
    <t>Review Date</t>
  </si>
  <si>
    <t>ID</t>
  </si>
  <si>
    <t>Control Area</t>
  </si>
  <si>
    <t>Secure Coding Requirement</t>
  </si>
  <si>
    <t>Pass Mark</t>
  </si>
  <si>
    <t>Status</t>
  </si>
  <si>
    <t>Evidence / Comments</t>
  </si>
  <si>
    <t>Owner / Follow-up</t>
  </si>
  <si>
    <t>SC-001</t>
  </si>
  <si>
    <t>Input validation</t>
  </si>
  <si>
    <t>Conduct all input validation on a trusted system (server side not client side)</t>
  </si>
  <si>
    <t>☐</t>
  </si>
  <si>
    <t>Not Reviewed</t>
  </si>
  <si>
    <t>SC-002</t>
  </si>
  <si>
    <t>Identify all data sources and classify them into trusted and untrusted</t>
  </si>
  <si>
    <t>SC-003</t>
  </si>
  <si>
    <t>Validate all data from untrusted sources (databases, file streams, etc)</t>
  </si>
  <si>
    <t>SC-004</t>
  </si>
  <si>
    <t>Use a centralized input validation routine for the whole application</t>
  </si>
  <si>
    <t>SC-005</t>
  </si>
  <si>
    <t>Specify character sets, such as UTF-8, for all input sources (canonicalization)</t>
  </si>
  <si>
    <t>SC-006</t>
  </si>
  <si>
    <t>Encode input to a common character set before validating</t>
  </si>
  <si>
    <t>SC-007</t>
  </si>
  <si>
    <t>All validation failures should result in input rejection</t>
  </si>
  <si>
    <t>SC-008</t>
  </si>
  <si>
    <t>If the system supports UTF-8 extended character sets and validate after UTF-8 decoding is completed</t>
  </si>
  <si>
    <t>SC-009</t>
  </si>
  <si>
    <t>Validate all client provided data before processing</t>
  </si>
  <si>
    <t>SC-010</t>
  </si>
  <si>
    <t>Verify that protocol header values in both requests and responses contain only ASCII characters</t>
  </si>
  <si>
    <t>SC-011</t>
  </si>
  <si>
    <t>Validate data from redirects</t>
  </si>
  <si>
    <t>SC-012</t>
  </si>
  <si>
    <t>Validate for expected data types using an "allow" list rather than a "deny" list</t>
  </si>
  <si>
    <t>SC-013</t>
  </si>
  <si>
    <t>Validate data range</t>
  </si>
  <si>
    <t>SC-014</t>
  </si>
  <si>
    <t>Validate data length</t>
  </si>
  <si>
    <t>SC-015</t>
  </si>
  <si>
    <t>If any potentially hazardous input must be allowed then implement additional controls</t>
  </si>
  <si>
    <t>SC-016</t>
  </si>
  <si>
    <t>If the standard validation routine cannot address some inputs then use extra discrete checks</t>
  </si>
  <si>
    <t>SC-017</t>
  </si>
  <si>
    <t>Utilize canonicalization to address obfuscation attacks</t>
  </si>
  <si>
    <t>SC-018</t>
  </si>
  <si>
    <t>Output encoding</t>
  </si>
  <si>
    <t>Conduct all output encoding on a trusted system (server side not client side)</t>
  </si>
  <si>
    <t>SC-019</t>
  </si>
  <si>
    <t>Utilize a standard, tested routine for each type of outbound encoding</t>
  </si>
  <si>
    <t>SC-020</t>
  </si>
  <si>
    <t>Specify character sets, such as UTF-8, for all outputs</t>
  </si>
  <si>
    <t>SC-021</t>
  </si>
  <si>
    <t>Contextually output encode all data returned to the client from untrusted sources</t>
  </si>
  <si>
    <t>SC-022</t>
  </si>
  <si>
    <t>Ensure the output encoding is safe for all target systems</t>
  </si>
  <si>
    <t>SC-023</t>
  </si>
  <si>
    <t>Contextually sanitize all output of un-trusted data to queries for SQL, XML, and LDAP</t>
  </si>
  <si>
    <t>SC-024</t>
  </si>
  <si>
    <t>Sanitize all output of untrusted data to operating system commands</t>
  </si>
  <si>
    <t>SC-025</t>
  </si>
  <si>
    <t>Authentication and password management</t>
  </si>
  <si>
    <t>Require authentication for all pages and resources, except those specifically intended to be public</t>
  </si>
  <si>
    <t>SC-026</t>
  </si>
  <si>
    <t>All authentication controls must be enforced on a trusted system</t>
  </si>
  <si>
    <t>SC-027</t>
  </si>
  <si>
    <t>Establish and utilize standard, tested, authentication services whenever possible</t>
  </si>
  <si>
    <t>SC-028</t>
  </si>
  <si>
    <t>Use a centralized implementation for all authentication controls, including libraries that call external authentication services</t>
  </si>
  <si>
    <t>SC-029</t>
  </si>
  <si>
    <t>Segregate authentication logic from the resource being requested and use redirection to and from the centralized authentication control</t>
  </si>
  <si>
    <t>SC-030</t>
  </si>
  <si>
    <t>All authentication controls should fail securely</t>
  </si>
  <si>
    <t>SC-031</t>
  </si>
  <si>
    <t>All administrative and account management functions must be at least as secure as the primary authentication mechanism</t>
  </si>
  <si>
    <t>SC-032</t>
  </si>
  <si>
    <t>If your application manages a credential store, use cryptographically strong one-way salted hashes</t>
  </si>
  <si>
    <t>SC-033</t>
  </si>
  <si>
    <t>Password hashing must be implemented on a trusted system server side not client side)</t>
  </si>
  <si>
    <t>SC-034</t>
  </si>
  <si>
    <t>Validate the authentication data only on completion of all data input</t>
  </si>
  <si>
    <t>SC-035</t>
  </si>
  <si>
    <t>Authentication failure responses should not indicate which part of the authentication data was incorrect</t>
  </si>
  <si>
    <t>SC-036</t>
  </si>
  <si>
    <t>Utilize authentication for connections to external systems that involve sensitive information or functions</t>
  </si>
  <si>
    <t>SC-037</t>
  </si>
  <si>
    <t>Authentication credentials for accessing services external to the application should be stored in a secure store</t>
  </si>
  <si>
    <t>SC-038</t>
  </si>
  <si>
    <t>Use only HTTP POST requests to transmit authentication credentials</t>
  </si>
  <si>
    <t>SC-039</t>
  </si>
  <si>
    <t>Only send non-temporary passwords over an encrypted connection or as encrypted data</t>
  </si>
  <si>
    <t>SC-040</t>
  </si>
  <si>
    <t>Enforce password complexity requirements established by policy or regulation</t>
  </si>
  <si>
    <t>SC-041</t>
  </si>
  <si>
    <t>Enforce password length requirements established by policy or regulation</t>
  </si>
  <si>
    <t>SC-042</t>
  </si>
  <si>
    <t>Password entry should be obscured on the user's screen</t>
  </si>
  <si>
    <t>SC-043</t>
  </si>
  <si>
    <t>Enforce account disabling after an established number of invalid login attempts</t>
  </si>
  <si>
    <t>SC-044</t>
  </si>
  <si>
    <t>Password reset and changing operations require the same level of controls as account creation and authentication</t>
  </si>
  <si>
    <t>SC-045</t>
  </si>
  <si>
    <t>Password reset questions should support sufficiently random answers</t>
  </si>
  <si>
    <t>SC-046</t>
  </si>
  <si>
    <t>If using email based resets, only send email to a pre-registered address with a temporary link/password</t>
  </si>
  <si>
    <t>SC-047</t>
  </si>
  <si>
    <t>Temporary passwords and links should have a short expiration time</t>
  </si>
  <si>
    <t>SC-048</t>
  </si>
  <si>
    <t>Enforce the changing of temporary passwords on the next use</t>
  </si>
  <si>
    <t>SC-049</t>
  </si>
  <si>
    <t>Notify users when a password reset occurs</t>
  </si>
  <si>
    <t>SC-050</t>
  </si>
  <si>
    <t>Prevent password re-use</t>
  </si>
  <si>
    <t>SC-051</t>
  </si>
  <si>
    <t>Passwords should be at least one day old before they can be changed, to prevent attacks on password re-use</t>
  </si>
  <si>
    <t>SC-052</t>
  </si>
  <si>
    <t>Enforce password changes based on requirements established in policy or regulation, with the time between resets administratively controlled</t>
  </si>
  <si>
    <t>SC-053</t>
  </si>
  <si>
    <t>Disable "remember me" functionality for password fields</t>
  </si>
  <si>
    <t>SC-054</t>
  </si>
  <si>
    <t>The last use (successful or unsuccessful) of a user account should be reported to the user at their next successful login</t>
  </si>
  <si>
    <t>SC-055</t>
  </si>
  <si>
    <t>Implement monitoring to identify attacks against multiple user accounts, utilizing the same password</t>
  </si>
  <si>
    <t>SC-056</t>
  </si>
  <si>
    <t>Change all vendor-supplied default passwords and user IDs or disable the associated accounts</t>
  </si>
  <si>
    <t>SC-057</t>
  </si>
  <si>
    <t>Re-authenticate users prior to performing critical operations</t>
  </si>
  <si>
    <t>SC-058</t>
  </si>
  <si>
    <t>Use Multi-Factor Authentication for highly sensitive or high value transactional accounts</t>
  </si>
  <si>
    <t>SC-059</t>
  </si>
  <si>
    <t>If using third party code for authentication, inspect the code carefully to ensure it is not affected by any malicious code</t>
  </si>
  <si>
    <t>SC-060</t>
  </si>
  <si>
    <t>Session management</t>
  </si>
  <si>
    <t>Use the server or framework’s session management controls. The application should recognize only these session identifiers as valid</t>
  </si>
  <si>
    <t>SC-061</t>
  </si>
  <si>
    <t>Session identifier creation must always be done on a trusted system (server side not client side)</t>
  </si>
  <si>
    <t>SC-062</t>
  </si>
  <si>
    <t>Session management controls should use well vetted algorithms that ensure sufficiently random session identifiers</t>
  </si>
  <si>
    <t>SC-063</t>
  </si>
  <si>
    <t>Set the domain and path for cookies containing authenticated session identifiers to an appropriately restricted value for the site</t>
  </si>
  <si>
    <t>SC-064</t>
  </si>
  <si>
    <t>Logout functionality should fully terminate the associated session or connection</t>
  </si>
  <si>
    <t>SC-065</t>
  </si>
  <si>
    <t>Logout functionality should be available from all pages protected by authorization</t>
  </si>
  <si>
    <t>SC-066</t>
  </si>
  <si>
    <t>Establish a session inactivity timeout that is as short as possible, based on balancing risk and business functional requirements</t>
  </si>
  <si>
    <t>SC-067</t>
  </si>
  <si>
    <t>Disallow persistent logins and enforce periodic session terminations, even when the session is active</t>
  </si>
  <si>
    <t>SC-068</t>
  </si>
  <si>
    <t>If a session was established before login, close that session and establish a new session after a successful login</t>
  </si>
  <si>
    <t>SC-069</t>
  </si>
  <si>
    <t>Generate a new session identifier on any re-authentication</t>
  </si>
  <si>
    <t>SC-070</t>
  </si>
  <si>
    <t>Do not allow concurrent logins with the same user ID</t>
  </si>
  <si>
    <t>SC-071</t>
  </si>
  <si>
    <t>Do not expose session identifiers in URLs, error messages or logs</t>
  </si>
  <si>
    <t>SC-072</t>
  </si>
  <si>
    <t>Implement appropriate access controls to protect server side session data from unauthorized access from other users of the server</t>
  </si>
  <si>
    <t>SC-073</t>
  </si>
  <si>
    <t>Generate a new session identifier and deactivate the old one periodically</t>
  </si>
  <si>
    <t>SC-074</t>
  </si>
  <si>
    <t>Generate a new session identifier if the connection security changes from HTTP to HTTPS, as can occur during authentication</t>
  </si>
  <si>
    <t>SC-075</t>
  </si>
  <si>
    <t>Consistently utilize HTTPS rather than switching between HTTP to HTTPS</t>
  </si>
  <si>
    <t>SC-076</t>
  </si>
  <si>
    <t>Supplement standard session management for sensitive server-side operations, like account management, by utilizing per-session strong random tokens or parameters</t>
  </si>
  <si>
    <t>SC-077</t>
  </si>
  <si>
    <t>Supplement standard session management for highly sensitive or critical operations by utilizing per-request, as opposed to per-session, strong random tokens or parameters</t>
  </si>
  <si>
    <t>SC-078</t>
  </si>
  <si>
    <t>Set the "secure" attribute for cookies transmitted over an TLS connection</t>
  </si>
  <si>
    <t>SC-079</t>
  </si>
  <si>
    <t>Set cookies with the HttpOnly attribute, unless you specifically require client-side scripts within your application to read or set a cookie's value</t>
  </si>
  <si>
    <t>SC-080</t>
  </si>
  <si>
    <t>Access control</t>
  </si>
  <si>
    <t>Use only trusted system objects, e.g. server side session objects, for making access authorization decisions</t>
  </si>
  <si>
    <t>SC-081</t>
  </si>
  <si>
    <t>Use a single site-wide component to check access authorization. This includes libraries that call external authorization services</t>
  </si>
  <si>
    <t>SC-082</t>
  </si>
  <si>
    <t>Access controls should fail securely</t>
  </si>
  <si>
    <t>SC-083</t>
  </si>
  <si>
    <t>Deny all access if the application cannot access its security configuration information</t>
  </si>
  <si>
    <t>SC-084</t>
  </si>
  <si>
    <t>Enforce authorization controls on every request, including those made by server side scripts</t>
  </si>
  <si>
    <t>SC-085</t>
  </si>
  <si>
    <t>Segregate privileged logic from other application code</t>
  </si>
  <si>
    <t>SC-086</t>
  </si>
  <si>
    <t>Restrict access to files or other resources, including those outside the application's direct control, to only authorized users</t>
  </si>
  <si>
    <t>SC-087</t>
  </si>
  <si>
    <t>Restrict access to protected URLs to only authorized users</t>
  </si>
  <si>
    <t>SC-088</t>
  </si>
  <si>
    <t>Restrict access to protected functions to only authorized users</t>
  </si>
  <si>
    <t>SC-089</t>
  </si>
  <si>
    <t>Restrict direct object references to only authorized users</t>
  </si>
  <si>
    <t>SC-090</t>
  </si>
  <si>
    <t>Restrict access to services to only authorized users</t>
  </si>
  <si>
    <t>SC-091</t>
  </si>
  <si>
    <t>Restrict access to application data to only authorized users</t>
  </si>
  <si>
    <t>SC-092</t>
  </si>
  <si>
    <t>Restrict access to user and data attributes and policy information used by access controls</t>
  </si>
  <si>
    <t>SC-093</t>
  </si>
  <si>
    <t>Restrict access security-relevant configuration information to only authorized users</t>
  </si>
  <si>
    <t>SC-094</t>
  </si>
  <si>
    <t>Server side implementation and presentation layer representations of access control rules must match</t>
  </si>
  <si>
    <t>SC-095</t>
  </si>
  <si>
    <t>If state data must be stored on the client, use encryption and integrity checking on the server side to detect state tampering</t>
  </si>
  <si>
    <t>SC-096</t>
  </si>
  <si>
    <t>Enforce application logic flows to comply with business rules</t>
  </si>
  <si>
    <t>SC-097</t>
  </si>
  <si>
    <t>Limit the number of transactions a single user or device can perform in a given period of time, low enough to deter automated attacks but above the actual business requirement</t>
  </si>
  <si>
    <t>SC-098</t>
  </si>
  <si>
    <t>Use the "referer" header as a supplemental check only, it should never be the sole authorization check as it is can be spoofed</t>
  </si>
  <si>
    <t>SC-099</t>
  </si>
  <si>
    <t>If long authenticated sessions are allowed, periodically re-validate a user’s authorization to ensure that their privileges have not changed and if they have, log the user out and force them to re-authenticate</t>
  </si>
  <si>
    <t>SC-100</t>
  </si>
  <si>
    <t>Implement account auditing and enforce the disabling of unused accounts</t>
  </si>
  <si>
    <t>SC-101</t>
  </si>
  <si>
    <t>The application must support disabling of accounts and terminating sessions when authorization ceases</t>
  </si>
  <si>
    <t>SC-102</t>
  </si>
  <si>
    <t>Service accounts or accounts supporting connections to or from external systems should have the least privilege possible</t>
  </si>
  <si>
    <t>SC-103</t>
  </si>
  <si>
    <t>Create an Access Control Policy to document an application's business rules, data types and access authorization criteria and/or processes so that access can be properly provisioned and controlled. This includes identifying access requirements for both the data and system resources</t>
  </si>
  <si>
    <t>SC-104</t>
  </si>
  <si>
    <t>Cryptographic practices</t>
  </si>
  <si>
    <t>All cryptographic functions used to protect secrets from the application user must be implemented on a trusted system</t>
  </si>
  <si>
    <t>SC-105</t>
  </si>
  <si>
    <t>Protect secrets from unauthorized access</t>
  </si>
  <si>
    <t>SC-106</t>
  </si>
  <si>
    <t>Cryptographic modules should fail securely</t>
  </si>
  <si>
    <t>SC-107</t>
  </si>
  <si>
    <t>All random numbers, random file names, random GUIDs, and random strings should be generated using the cryptographic module’s approved random number generator</t>
  </si>
  <si>
    <t>SC-108</t>
  </si>
  <si>
    <t>Cryptographic modules used by the application should be compliant to FIPS 140-2 or an equivalent standard</t>
  </si>
  <si>
    <t>SC-109</t>
  </si>
  <si>
    <t>Establish and utilize a policy and process for how cryptographic keys will be managed</t>
  </si>
  <si>
    <t>SC-110</t>
  </si>
  <si>
    <t>Error handling and logging</t>
  </si>
  <si>
    <t>Do not disclose sensitive information in error responses, including system details, session identifiers or account information</t>
  </si>
  <si>
    <t>SC-111</t>
  </si>
  <si>
    <t>Use error handlers that do not display debugging or stack trace information</t>
  </si>
  <si>
    <t>SC-112</t>
  </si>
  <si>
    <t>Implement generic error messages and use custom error pages</t>
  </si>
  <si>
    <t>SC-113</t>
  </si>
  <si>
    <t>The application should handle application errors and not rely on the server configuration</t>
  </si>
  <si>
    <t>SC-114</t>
  </si>
  <si>
    <t>Properly free allocated memory when error conditions occur</t>
  </si>
  <si>
    <t>SC-115</t>
  </si>
  <si>
    <t>Error handling logic associated with security controls should deny access by default</t>
  </si>
  <si>
    <t>SC-116</t>
  </si>
  <si>
    <t>All logging controls should be implemented on a trusted system</t>
  </si>
  <si>
    <t>SC-117</t>
  </si>
  <si>
    <t>Logging controls should support both success and failure of specified security events</t>
  </si>
  <si>
    <t>SC-118</t>
  </si>
  <si>
    <t>Ensure logs contain important log event data</t>
  </si>
  <si>
    <t>SC-119</t>
  </si>
  <si>
    <t>Ensure log entries that include un-trusted data will not execute as code in the intended log viewing interface or software</t>
  </si>
  <si>
    <t>SC-120</t>
  </si>
  <si>
    <t>Restrict access to logs to only authorized individuals</t>
  </si>
  <si>
    <t>SC-121</t>
  </si>
  <si>
    <t>Utilize a central routine for all logging operations</t>
  </si>
  <si>
    <t>SC-122</t>
  </si>
  <si>
    <t>Do not store sensitive information in logs, including unnecessary system details, session identifiers or passwords</t>
  </si>
  <si>
    <t>SC-123</t>
  </si>
  <si>
    <t>Ensure that a mechanism exists to conduct log analysis</t>
  </si>
  <si>
    <t>SC-124</t>
  </si>
  <si>
    <t>Log all input validation failures</t>
  </si>
  <si>
    <t>SC-125</t>
  </si>
  <si>
    <t>Log all authentication attempts, especially failures</t>
  </si>
  <si>
    <t>SC-126</t>
  </si>
  <si>
    <t>Log all access control failures</t>
  </si>
  <si>
    <t>SC-127</t>
  </si>
  <si>
    <t>Log all apparent tampering events, including unexpected changes to state data</t>
  </si>
  <si>
    <t>SC-128</t>
  </si>
  <si>
    <t>Log attempts to connect with invalid or expired session tokens</t>
  </si>
  <si>
    <t>SC-129</t>
  </si>
  <si>
    <t>Log all system exceptions</t>
  </si>
  <si>
    <t>SC-130</t>
  </si>
  <si>
    <t>Log all administrative functions, including changes to the security configuration settings</t>
  </si>
  <si>
    <t>SC-131</t>
  </si>
  <si>
    <t>Log all backend TLS connection failures</t>
  </si>
  <si>
    <t>SC-132</t>
  </si>
  <si>
    <t>Log cryptographic module failures</t>
  </si>
  <si>
    <t>SC-133</t>
  </si>
  <si>
    <t>Use a cryptographic hash function to validate log entry integrity</t>
  </si>
  <si>
    <t>SC-134</t>
  </si>
  <si>
    <t>Data protection</t>
  </si>
  <si>
    <t>Implement least privilege, restrict users to only the functionality, data and system information that is required to perform their tasks</t>
  </si>
  <si>
    <t>SC-135</t>
  </si>
  <si>
    <t>Protect all cached or temporary copies of sensitive data stored on the server from unauthorized access and purge those temporary working files a soon as they are no longer required.</t>
  </si>
  <si>
    <t>SC-136</t>
  </si>
  <si>
    <t>Encrypt highly sensitive stored information, such as authentication verification data, even if on the server side</t>
  </si>
  <si>
    <t>SC-137</t>
  </si>
  <si>
    <t>Protect server-side source-code from being downloaded by a user</t>
  </si>
  <si>
    <t>SC-138</t>
  </si>
  <si>
    <t>Do not store passwords, connection strings or other sensitive information in clear text or in any non-cryptographically secure manner on the client side</t>
  </si>
  <si>
    <t>SC-139</t>
  </si>
  <si>
    <t>Remove comments in user accessible production code that may reveal backend system or other sensitive information</t>
  </si>
  <si>
    <t>SC-140</t>
  </si>
  <si>
    <t>Remove unnecessary application and system documentation as this can reveal useful information to attackers</t>
  </si>
  <si>
    <t>SC-141</t>
  </si>
  <si>
    <t>Do not include sensitive information in HTTP GET request parameters</t>
  </si>
  <si>
    <t>SC-142</t>
  </si>
  <si>
    <t>Disable auto complete features on forms expected to contain sensitive information, including authentication</t>
  </si>
  <si>
    <t>SC-143</t>
  </si>
  <si>
    <t>Disable client side caching on pages containing sensitive information</t>
  </si>
  <si>
    <t>SC-144</t>
  </si>
  <si>
    <t>The application should support the removal of sensitive data when that data is no longer required</t>
  </si>
  <si>
    <t>SC-145</t>
  </si>
  <si>
    <t>Implement appropriate access controls for sensitive data stored on the server. This includes cached data, temporary files and data that should be accessible only by specific system users</t>
  </si>
  <si>
    <t>SC-146</t>
  </si>
  <si>
    <t>Communication security</t>
  </si>
  <si>
    <t>Implement encryption for the transmission of all sensitive information. This should include TLS for protecting the connection and may be supplemented by discrete encryption of sensitive files or non-HTTP based connections</t>
  </si>
  <si>
    <t>SC-147</t>
  </si>
  <si>
    <t>TLS certificates should be valid and have the correct domain name, not be expired, and be installed with intermediate certificates when required</t>
  </si>
  <si>
    <t>SC-148</t>
  </si>
  <si>
    <t>Failed TLS connections should not fall back to an insecure connection</t>
  </si>
  <si>
    <t>SC-149</t>
  </si>
  <si>
    <t>Utilize TLS connections for all content requiring authenticated access and for all other sensitive information</t>
  </si>
  <si>
    <t>SC-150</t>
  </si>
  <si>
    <t>Utilize TLS for connections to external systems that involve sensitive information or functions</t>
  </si>
  <si>
    <t>SC-151</t>
  </si>
  <si>
    <t>Utilize a single standard TLS implementation that is configured appropriately</t>
  </si>
  <si>
    <t>SC-152</t>
  </si>
  <si>
    <t>Specify character encodings for all connections</t>
  </si>
  <si>
    <t>SC-153</t>
  </si>
  <si>
    <t>Filter parameters containing sensitive information from the HTTP referer, when linking to external sites</t>
  </si>
  <si>
    <t>SC-154</t>
  </si>
  <si>
    <t>System configuration</t>
  </si>
  <si>
    <t>Ensure servers, frameworks and system components are running the latest approved version</t>
  </si>
  <si>
    <t>SC-155</t>
  </si>
  <si>
    <t>Ensure servers, frameworks and system components have all patches issued for the version in use</t>
  </si>
  <si>
    <t>SC-156</t>
  </si>
  <si>
    <t>Turn off directory listings</t>
  </si>
  <si>
    <t>SC-157</t>
  </si>
  <si>
    <t>Restrict the web server, process and service accounts to the least privileges possible</t>
  </si>
  <si>
    <t>SC-158</t>
  </si>
  <si>
    <t>When exceptions occur, fail securely</t>
  </si>
  <si>
    <t>SC-159</t>
  </si>
  <si>
    <t>Remove all unnecessary functionality and files</t>
  </si>
  <si>
    <t>SC-160</t>
  </si>
  <si>
    <t>Remove test code or any functionality not intended for production, prior to deployment</t>
  </si>
  <si>
    <t>SC-161</t>
  </si>
  <si>
    <t>Prevent disclosure of your directory structure in the robots.txt file by placing directories not intended for public indexing into an isolated parent directory</t>
  </si>
  <si>
    <t>SC-162</t>
  </si>
  <si>
    <t>Define which HTTP methods, Get or Post, the application will support and whether it will be handled differently in different pages in the application</t>
  </si>
  <si>
    <t>SC-163</t>
  </si>
  <si>
    <t>Disable unnecessary HTTP methods</t>
  </si>
  <si>
    <t>SC-164</t>
  </si>
  <si>
    <t>If the web server handles different versions of HTTP ensure that they are configured in a similar manner and ensure any differences are understood</t>
  </si>
  <si>
    <t>SC-165</t>
  </si>
  <si>
    <t>Remove unnecessary information from HTTP response headers related to the OS, web-server version and application frameworks</t>
  </si>
  <si>
    <t>SC-166</t>
  </si>
  <si>
    <t>The security configuration store for the application should be able to be output in human readable form to support auditing</t>
  </si>
  <si>
    <t>SC-167</t>
  </si>
  <si>
    <t>Implement an asset management system and register system components and software in it</t>
  </si>
  <si>
    <t>SC-168</t>
  </si>
  <si>
    <t>Isolate development environments from the production network and provide access only to authorized development and test groups</t>
  </si>
  <si>
    <t>SC-169</t>
  </si>
  <si>
    <t>Implement a software change control system to manage and record changes to the code both in development and production</t>
  </si>
  <si>
    <t>SC-170</t>
  </si>
  <si>
    <t>Database security</t>
  </si>
  <si>
    <t>Use strongly typed parameterized queries</t>
  </si>
  <si>
    <t>SC-171</t>
  </si>
  <si>
    <t>Utilize input validation and output encoding and be sure to address meta characters. If these fail, do not run the database command</t>
  </si>
  <si>
    <t>SC-172</t>
  </si>
  <si>
    <t>Ensure that variables are strongly typed</t>
  </si>
  <si>
    <t>SC-173</t>
  </si>
  <si>
    <t>The application should use the lowest possible level of privilege when accessing the database</t>
  </si>
  <si>
    <t>SC-174</t>
  </si>
  <si>
    <t>Use secure credentials for database access</t>
  </si>
  <si>
    <t>SC-175</t>
  </si>
  <si>
    <t>Connection strings should not be hard coded within the application. Connection strings should be stored in a separate configuration file on a trusted system and they should be encrypted.</t>
  </si>
  <si>
    <t>SC-176</t>
  </si>
  <si>
    <t>Use stored procedures to abstract data access and allow for the removal of permissions to the base tables in the database</t>
  </si>
  <si>
    <t>SC-177</t>
  </si>
  <si>
    <t>Close the connection as soon as possible</t>
  </si>
  <si>
    <t>SC-178</t>
  </si>
  <si>
    <t>Remove or change all default database administrative passwords</t>
  </si>
  <si>
    <t>SC-179</t>
  </si>
  <si>
    <t>Turn off all unnecessary database functionality</t>
  </si>
  <si>
    <t>SC-180</t>
  </si>
  <si>
    <t>Remove unnecessary default vendor content (for example sample schemas)</t>
  </si>
  <si>
    <t>SC-181</t>
  </si>
  <si>
    <t>Disable any default accounts that are not required to support business requirements</t>
  </si>
  <si>
    <t>SC-182</t>
  </si>
  <si>
    <t>The application should connect to the database with different credentials for every trust distinction (for example user, read-only user, guest, administrators)</t>
  </si>
  <si>
    <t>SC-183</t>
  </si>
  <si>
    <t>File management</t>
  </si>
  <si>
    <t>Do not pass user supplied data directly to any dynamic include function</t>
  </si>
  <si>
    <t>SC-184</t>
  </si>
  <si>
    <t>Require authentication before allowing a file to be uploaded</t>
  </si>
  <si>
    <t>SC-185</t>
  </si>
  <si>
    <t>Limit the type of files that can be uploaded to only those types that are needed for business purposes</t>
  </si>
  <si>
    <t>SC-186</t>
  </si>
  <si>
    <t>Validate uploaded files are the expected type by checking file headers rather than by file extension</t>
  </si>
  <si>
    <t>SC-187</t>
  </si>
  <si>
    <t>Do not save files in the same web context as the application</t>
  </si>
  <si>
    <t>SC-188</t>
  </si>
  <si>
    <t>Prevent or restrict the uploading of any file that may be interpreted by the web server.</t>
  </si>
  <si>
    <t>SC-189</t>
  </si>
  <si>
    <t>Turn off execution privileges on file upload directories</t>
  </si>
  <si>
    <t>SC-190</t>
  </si>
  <si>
    <t>Implement safe uploading in UNIX by mounting the targeted file directory as a logical drive using the associated path or the chrooted environment</t>
  </si>
  <si>
    <t>SC-191</t>
  </si>
  <si>
    <t>When referencing existing files, use an allow-list of allowed file names and types</t>
  </si>
  <si>
    <t>SC-192</t>
  </si>
  <si>
    <t>Do not pass user supplied data into a dynamic redirect</t>
  </si>
  <si>
    <t>SC-193</t>
  </si>
  <si>
    <t>Do not pass directory or file paths, use index values mapped to pre-defined list of paths</t>
  </si>
  <si>
    <t>SC-194</t>
  </si>
  <si>
    <t>Never send the absolute file path to the client</t>
  </si>
  <si>
    <t>SC-195</t>
  </si>
  <si>
    <t>Ensure application files and resources are read-only</t>
  </si>
  <si>
    <t>SC-196</t>
  </si>
  <si>
    <t>Scan user uploaded files for viruses and malware</t>
  </si>
  <si>
    <t>SC-197</t>
  </si>
  <si>
    <t>Memory management</t>
  </si>
  <si>
    <t>Utilize input and output controls for untrusted data</t>
  </si>
  <si>
    <t>SC-198</t>
  </si>
  <si>
    <t>Check that the buffer is as large as specified</t>
  </si>
  <si>
    <t>SC-199</t>
  </si>
  <si>
    <t>When using functions that accept a number of bytes ensure that NULL terminatation is handled correctly</t>
  </si>
  <si>
    <t>SC-200</t>
  </si>
  <si>
    <t>Check buffer boundaries if calling the function in a loop and protect against overflow</t>
  </si>
  <si>
    <t>SC-201</t>
  </si>
  <si>
    <t>Truncate all input strings to a reasonable length before passing them to other functions</t>
  </si>
  <si>
    <t>SC-202</t>
  </si>
  <si>
    <t>Specifically close resources, don’t rely on garbage collection</t>
  </si>
  <si>
    <t>SC-203</t>
  </si>
  <si>
    <t>Use non-executable stacks when available</t>
  </si>
  <si>
    <t>SC-204</t>
  </si>
  <si>
    <t>Avoid the use of known vulnerable functions</t>
  </si>
  <si>
    <t>SC-205</t>
  </si>
  <si>
    <t>Properly free allocated memory upon the completion of functions and at all exit points</t>
  </si>
  <si>
    <t>SC-206</t>
  </si>
  <si>
    <t>Overwrite any sensitive information stored in allocated memory at all exit points from the function</t>
  </si>
  <si>
    <t>SC-207</t>
  </si>
  <si>
    <t>General coding practices</t>
  </si>
  <si>
    <t>Use tested and approved managed code rather than creating new unmanaged code for common tasks</t>
  </si>
  <si>
    <t>SC-208</t>
  </si>
  <si>
    <t>Utilize task specific built-in APIs to conduct operating system tasks. Do not allow the application to issue commands directly to the Operating System, especially through the use of application initiated command shells</t>
  </si>
  <si>
    <t>SC-209</t>
  </si>
  <si>
    <t>Use checksums or hashes to verify the integrity of interpreted code, libraries, executables, and configuration files</t>
  </si>
  <si>
    <t>SC-210</t>
  </si>
  <si>
    <t>Utilize locking to prevent multiple simultaneous requests or use a synchronization mechanism to prevent race conditions</t>
  </si>
  <si>
    <t>SC-211</t>
  </si>
  <si>
    <t>Protect shared variables and resources from inappropriate concurrent access</t>
  </si>
  <si>
    <t>SC-212</t>
  </si>
  <si>
    <t>Explicitly initialize all your variables and other data stores, either during declaration or just before the first usage</t>
  </si>
  <si>
    <t>SC-213</t>
  </si>
  <si>
    <t>In cases where the application must run with elevated privileges, raise privileges as late as possible, and drop them as soon as possible</t>
  </si>
  <si>
    <t>SC-214</t>
  </si>
  <si>
    <t>Avoid calculation errors by understanding your programming language's underlying representation</t>
  </si>
  <si>
    <t>SC-215</t>
  </si>
  <si>
    <t>Do not pass user supplied data to any dynamic execution function</t>
  </si>
  <si>
    <t>SC-216</t>
  </si>
  <si>
    <t>Restrict users from generating new code or altering existing code</t>
  </si>
  <si>
    <t>SC-217</t>
  </si>
  <si>
    <t>Review all secondary applications, third party code and libraries to determine business necessity and validate safe functionality</t>
  </si>
  <si>
    <t>SC-218</t>
  </si>
  <si>
    <t>Implement safe updating using encrypted channels</t>
  </si>
  <si>
    <t>Secure Coding Checklist — Review Summary</t>
  </si>
  <si>
    <t>Metric</t>
  </si>
  <si>
    <t>Count</t>
  </si>
  <si>
    <t>Total controls</t>
  </si>
  <si>
    <t>Pass</t>
  </si>
  <si>
    <t>Fail</t>
  </si>
  <si>
    <t>Not Applicable</t>
  </si>
  <si>
    <t>Pass Mark checked (☑)</t>
  </si>
  <si>
    <t>Control counts by area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</si>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</sst>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i/>
      <sz val="10"/>
      <color rgb="FF404040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sz val="9"/>
      <color rgb="FF666666"/>
      <name val="Calibri"/>
    </font>
    <font>
      <b/>
      <sz val="9"/>
      <color rgb="FF17365D"/>
      <name val="Calibri"/>
    </font>
    <font>
      <sz val="16"/>
      <color rgb="FF1F4E78"/>
      <name val="Calibri"/>
    </font>
    <font>
      <b/>
      <sz val="16"/>
      <color rgb="FFFFFFFF"/>
      <name val="Calibri"/>
    </font>
    <font>
      <b/>
      <sz val="12"/>
      <color rgb="FF17365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AFCFE"/>
      </patternFill>
    </fill>
    <fill>
      <patternFill patternType="solid">
        <fgColor rgb="FFEEF5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4" fillId="4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center"/>
    </xf>
    <xf numFmtId="0" fontId="9" fillId="0" borderId="0" xfId="0" applyFont="1"/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0" borderId="0" xfId="0" applyFont="1" applyAlignment="1">
      <alignment vertical="center" wrapText="1"/>
    </xf>
    <xf numFmtId="0" fontId="8" fillId="2" borderId="0" xfId="0" applyFont="1" applyFill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FF2CC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7"/>
  <sheetViews>
    <sheetView showGridLines="0" tabSelected="1" workbookViewId="0">
      <pane xSplit="2" ySplit="9" topLeftCell="C10" activePane="bottomRight" state="frozen"/>
      <selection pane="topRight"/>
      <selection pane="bottomLeft"/>
      <selection pane="bottomRight" activeCell="D10" sqref="D10"/>
    </sheetView>
  </sheetViews>
  <sheetFormatPr defaultRowHeight="14.4" x14ac:dyDescent="0.3"/>
  <cols>
    <col min="1" max="1" width="11" customWidth="1"/>
    <col min="2" max="2" width="32" customWidth="1"/>
    <col min="3" max="3" width="88" customWidth="1"/>
    <col min="4" max="4" width="12" customWidth="1"/>
    <col min="5" max="5" width="19" customWidth="1"/>
    <col min="6" max="6" width="42" customWidth="1"/>
    <col min="7" max="7" width="28" customWidth="1"/>
  </cols>
  <sheetData>
    <row r="1" spans="1:7" ht="30" customHeight="1" x14ac:dyDescent="0.3">
      <c r="A1" s="17" t="s">
        <v>0</v>
      </c>
      <c r="B1" s="18"/>
      <c r="C1" s="18"/>
      <c r="D1" s="18"/>
      <c r="E1" s="18"/>
      <c r="F1" s="18"/>
      <c r="G1" s="18"/>
    </row>
    <row r="2" spans="1:7" ht="31.95" customHeight="1" x14ac:dyDescent="0.3">
      <c r="A2" s="19" t="s">
        <v>1</v>
      </c>
      <c r="B2" s="18"/>
      <c r="C2" s="18"/>
      <c r="D2" s="18"/>
      <c r="E2" s="18"/>
      <c r="F2" s="18"/>
      <c r="G2" s="18"/>
    </row>
    <row r="4" spans="1:7" ht="22.05" customHeight="1" x14ac:dyDescent="0.3">
      <c r="A4" s="1" t="s">
        <v>2</v>
      </c>
      <c r="B4" s="16"/>
      <c r="C4" s="16"/>
      <c r="D4" s="16"/>
      <c r="E4" s="16"/>
      <c r="F4" s="16"/>
      <c r="G4" s="16"/>
    </row>
    <row r="5" spans="1:7" ht="22.05" customHeight="1" x14ac:dyDescent="0.3">
      <c r="A5" s="1" t="s">
        <v>3</v>
      </c>
      <c r="B5" s="16"/>
      <c r="C5" s="16"/>
      <c r="D5" s="16"/>
      <c r="E5" s="16"/>
      <c r="F5" s="16"/>
      <c r="G5" s="16"/>
    </row>
    <row r="6" spans="1:7" ht="22.05" customHeight="1" x14ac:dyDescent="0.3">
      <c r="A6" s="1" t="s">
        <v>4</v>
      </c>
      <c r="B6" s="16"/>
      <c r="C6" s="16"/>
      <c r="D6" s="16"/>
      <c r="E6" s="16"/>
      <c r="F6" s="16"/>
      <c r="G6" s="16"/>
    </row>
    <row r="7" spans="1:7" ht="22.05" customHeight="1" x14ac:dyDescent="0.3">
      <c r="A7" s="1" t="s">
        <v>5</v>
      </c>
      <c r="B7" s="16"/>
      <c r="C7" s="16"/>
      <c r="D7" s="16"/>
      <c r="E7" s="16"/>
      <c r="F7" s="16"/>
      <c r="G7" s="16"/>
    </row>
    <row r="9" spans="1:7" ht="31.9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</row>
    <row r="10" spans="1:7" ht="36" customHeight="1" x14ac:dyDescent="0.3">
      <c r="A10" s="4" t="s">
        <v>13</v>
      </c>
      <c r="B10" s="5" t="s">
        <v>14</v>
      </c>
      <c r="C10" s="6" t="s">
        <v>15</v>
      </c>
      <c r="D10" s="7" t="s">
        <v>16</v>
      </c>
      <c r="E10" s="8" t="s">
        <v>17</v>
      </c>
      <c r="F10" s="6"/>
      <c r="G10" s="6"/>
    </row>
    <row r="11" spans="1:7" ht="36" customHeight="1" x14ac:dyDescent="0.3">
      <c r="A11" s="9" t="s">
        <v>18</v>
      </c>
      <c r="B11" s="5" t="s">
        <v>14</v>
      </c>
      <c r="C11" s="10" t="s">
        <v>19</v>
      </c>
      <c r="D11" s="7" t="s">
        <v>16</v>
      </c>
      <c r="E11" s="11" t="s">
        <v>17</v>
      </c>
      <c r="F11" s="10"/>
      <c r="G11" s="10"/>
    </row>
    <row r="12" spans="1:7" ht="36" customHeight="1" x14ac:dyDescent="0.3">
      <c r="A12" s="4" t="s">
        <v>20</v>
      </c>
      <c r="B12" s="5" t="s">
        <v>14</v>
      </c>
      <c r="C12" s="6" t="s">
        <v>21</v>
      </c>
      <c r="D12" s="7" t="s">
        <v>16</v>
      </c>
      <c r="E12" s="8" t="s">
        <v>17</v>
      </c>
      <c r="F12" s="6"/>
      <c r="G12" s="6"/>
    </row>
    <row r="13" spans="1:7" ht="36" customHeight="1" x14ac:dyDescent="0.3">
      <c r="A13" s="9" t="s">
        <v>22</v>
      </c>
      <c r="B13" s="5" t="s">
        <v>14</v>
      </c>
      <c r="C13" s="10" t="s">
        <v>23</v>
      </c>
      <c r="D13" s="7" t="s">
        <v>16</v>
      </c>
      <c r="E13" s="11" t="s">
        <v>17</v>
      </c>
      <c r="F13" s="10"/>
      <c r="G13" s="10"/>
    </row>
    <row r="14" spans="1:7" ht="36" customHeight="1" x14ac:dyDescent="0.3">
      <c r="A14" s="4" t="s">
        <v>24</v>
      </c>
      <c r="B14" s="5" t="s">
        <v>14</v>
      </c>
      <c r="C14" s="6" t="s">
        <v>25</v>
      </c>
      <c r="D14" s="7" t="s">
        <v>16</v>
      </c>
      <c r="E14" s="8" t="s">
        <v>17</v>
      </c>
      <c r="F14" s="6"/>
      <c r="G14" s="6"/>
    </row>
    <row r="15" spans="1:7" ht="36" customHeight="1" x14ac:dyDescent="0.3">
      <c r="A15" s="9" t="s">
        <v>26</v>
      </c>
      <c r="B15" s="5" t="s">
        <v>14</v>
      </c>
      <c r="C15" s="10" t="s">
        <v>27</v>
      </c>
      <c r="D15" s="7" t="s">
        <v>16</v>
      </c>
      <c r="E15" s="11" t="s">
        <v>17</v>
      </c>
      <c r="F15" s="10"/>
      <c r="G15" s="10"/>
    </row>
    <row r="16" spans="1:7" ht="36" customHeight="1" x14ac:dyDescent="0.3">
      <c r="A16" s="4" t="s">
        <v>28</v>
      </c>
      <c r="B16" s="5" t="s">
        <v>14</v>
      </c>
      <c r="C16" s="6" t="s">
        <v>29</v>
      </c>
      <c r="D16" s="7" t="s">
        <v>16</v>
      </c>
      <c r="E16" s="8" t="s">
        <v>17</v>
      </c>
      <c r="F16" s="6"/>
      <c r="G16" s="6"/>
    </row>
    <row r="17" spans="1:7" ht="36" customHeight="1" x14ac:dyDescent="0.3">
      <c r="A17" s="9" t="s">
        <v>30</v>
      </c>
      <c r="B17" s="5" t="s">
        <v>14</v>
      </c>
      <c r="C17" s="10" t="s">
        <v>31</v>
      </c>
      <c r="D17" s="7" t="s">
        <v>16</v>
      </c>
      <c r="E17" s="11" t="s">
        <v>17</v>
      </c>
      <c r="F17" s="10"/>
      <c r="G17" s="10"/>
    </row>
    <row r="18" spans="1:7" ht="36" customHeight="1" x14ac:dyDescent="0.3">
      <c r="A18" s="4" t="s">
        <v>32</v>
      </c>
      <c r="B18" s="5" t="s">
        <v>14</v>
      </c>
      <c r="C18" s="6" t="s">
        <v>33</v>
      </c>
      <c r="D18" s="7" t="s">
        <v>16</v>
      </c>
      <c r="E18" s="8" t="s">
        <v>17</v>
      </c>
      <c r="F18" s="6"/>
      <c r="G18" s="6"/>
    </row>
    <row r="19" spans="1:7" ht="36" customHeight="1" x14ac:dyDescent="0.3">
      <c r="A19" s="9" t="s">
        <v>34</v>
      </c>
      <c r="B19" s="5" t="s">
        <v>14</v>
      </c>
      <c r="C19" s="10" t="s">
        <v>35</v>
      </c>
      <c r="D19" s="7" t="s">
        <v>16</v>
      </c>
      <c r="E19" s="11" t="s">
        <v>17</v>
      </c>
      <c r="F19" s="10"/>
      <c r="G19" s="10"/>
    </row>
    <row r="20" spans="1:7" ht="36" customHeight="1" x14ac:dyDescent="0.3">
      <c r="A20" s="4" t="s">
        <v>36</v>
      </c>
      <c r="B20" s="5" t="s">
        <v>14</v>
      </c>
      <c r="C20" s="6" t="s">
        <v>37</v>
      </c>
      <c r="D20" s="7" t="s">
        <v>16</v>
      </c>
      <c r="E20" s="8" t="s">
        <v>17</v>
      </c>
      <c r="F20" s="6"/>
      <c r="G20" s="6"/>
    </row>
    <row r="21" spans="1:7" ht="36" customHeight="1" x14ac:dyDescent="0.3">
      <c r="A21" s="9" t="s">
        <v>38</v>
      </c>
      <c r="B21" s="5" t="s">
        <v>14</v>
      </c>
      <c r="C21" s="10" t="s">
        <v>39</v>
      </c>
      <c r="D21" s="7" t="s">
        <v>16</v>
      </c>
      <c r="E21" s="11" t="s">
        <v>17</v>
      </c>
      <c r="F21" s="10"/>
      <c r="G21" s="10"/>
    </row>
    <row r="22" spans="1:7" ht="36" customHeight="1" x14ac:dyDescent="0.3">
      <c r="A22" s="4" t="s">
        <v>40</v>
      </c>
      <c r="B22" s="5" t="s">
        <v>14</v>
      </c>
      <c r="C22" s="6" t="s">
        <v>41</v>
      </c>
      <c r="D22" s="7" t="s">
        <v>16</v>
      </c>
      <c r="E22" s="8" t="s">
        <v>17</v>
      </c>
      <c r="F22" s="6"/>
      <c r="G22" s="6"/>
    </row>
    <row r="23" spans="1:7" ht="36" customHeight="1" x14ac:dyDescent="0.3">
      <c r="A23" s="9" t="s">
        <v>42</v>
      </c>
      <c r="B23" s="5" t="s">
        <v>14</v>
      </c>
      <c r="C23" s="10" t="s">
        <v>43</v>
      </c>
      <c r="D23" s="7" t="s">
        <v>16</v>
      </c>
      <c r="E23" s="11" t="s">
        <v>17</v>
      </c>
      <c r="F23" s="10"/>
      <c r="G23" s="10"/>
    </row>
    <row r="24" spans="1:7" ht="36" customHeight="1" x14ac:dyDescent="0.3">
      <c r="A24" s="4" t="s">
        <v>44</v>
      </c>
      <c r="B24" s="5" t="s">
        <v>14</v>
      </c>
      <c r="C24" s="6" t="s">
        <v>45</v>
      </c>
      <c r="D24" s="7" t="s">
        <v>16</v>
      </c>
      <c r="E24" s="8" t="s">
        <v>17</v>
      </c>
      <c r="F24" s="6"/>
      <c r="G24" s="6"/>
    </row>
    <row r="25" spans="1:7" ht="36" customHeight="1" x14ac:dyDescent="0.3">
      <c r="A25" s="9" t="s">
        <v>46</v>
      </c>
      <c r="B25" s="5" t="s">
        <v>14</v>
      </c>
      <c r="C25" s="10" t="s">
        <v>47</v>
      </c>
      <c r="D25" s="7" t="s">
        <v>16</v>
      </c>
      <c r="E25" s="11" t="s">
        <v>17</v>
      </c>
      <c r="F25" s="10"/>
      <c r="G25" s="10"/>
    </row>
    <row r="26" spans="1:7" ht="36" customHeight="1" x14ac:dyDescent="0.3">
      <c r="A26" s="4" t="s">
        <v>48</v>
      </c>
      <c r="B26" s="5" t="s">
        <v>14</v>
      </c>
      <c r="C26" s="6" t="s">
        <v>49</v>
      </c>
      <c r="D26" s="7" t="s">
        <v>16</v>
      </c>
      <c r="E26" s="8" t="s">
        <v>17</v>
      </c>
      <c r="F26" s="6"/>
      <c r="G26" s="6"/>
    </row>
    <row r="27" spans="1:7" ht="36" customHeight="1" x14ac:dyDescent="0.3">
      <c r="A27" s="9" t="s">
        <v>50</v>
      </c>
      <c r="B27" s="5" t="s">
        <v>51</v>
      </c>
      <c r="C27" s="10" t="s">
        <v>52</v>
      </c>
      <c r="D27" s="7" t="s">
        <v>16</v>
      </c>
      <c r="E27" s="11" t="s">
        <v>17</v>
      </c>
      <c r="F27" s="10"/>
      <c r="G27" s="10"/>
    </row>
    <row r="28" spans="1:7" ht="36" customHeight="1" x14ac:dyDescent="0.3">
      <c r="A28" s="4" t="s">
        <v>53</v>
      </c>
      <c r="B28" s="5" t="s">
        <v>51</v>
      </c>
      <c r="C28" s="6" t="s">
        <v>54</v>
      </c>
      <c r="D28" s="7" t="s">
        <v>16</v>
      </c>
      <c r="E28" s="8" t="s">
        <v>17</v>
      </c>
      <c r="F28" s="6"/>
      <c r="G28" s="6"/>
    </row>
    <row r="29" spans="1:7" ht="36" customHeight="1" x14ac:dyDescent="0.3">
      <c r="A29" s="9" t="s">
        <v>55</v>
      </c>
      <c r="B29" s="5" t="s">
        <v>51</v>
      </c>
      <c r="C29" s="10" t="s">
        <v>56</v>
      </c>
      <c r="D29" s="7" t="s">
        <v>16</v>
      </c>
      <c r="E29" s="11" t="s">
        <v>17</v>
      </c>
      <c r="F29" s="10"/>
      <c r="G29" s="10"/>
    </row>
    <row r="30" spans="1:7" ht="36" customHeight="1" x14ac:dyDescent="0.3">
      <c r="A30" s="4" t="s">
        <v>57</v>
      </c>
      <c r="B30" s="5" t="s">
        <v>51</v>
      </c>
      <c r="C30" s="6" t="s">
        <v>58</v>
      </c>
      <c r="D30" s="7" t="s">
        <v>16</v>
      </c>
      <c r="E30" s="8" t="s">
        <v>17</v>
      </c>
      <c r="F30" s="6"/>
      <c r="G30" s="6"/>
    </row>
    <row r="31" spans="1:7" ht="36" customHeight="1" x14ac:dyDescent="0.3">
      <c r="A31" s="9" t="s">
        <v>59</v>
      </c>
      <c r="B31" s="5" t="s">
        <v>51</v>
      </c>
      <c r="C31" s="10" t="s">
        <v>60</v>
      </c>
      <c r="D31" s="7" t="s">
        <v>16</v>
      </c>
      <c r="E31" s="11" t="s">
        <v>17</v>
      </c>
      <c r="F31" s="10"/>
      <c r="G31" s="10"/>
    </row>
    <row r="32" spans="1:7" ht="36" customHeight="1" x14ac:dyDescent="0.3">
      <c r="A32" s="4" t="s">
        <v>61</v>
      </c>
      <c r="B32" s="5" t="s">
        <v>51</v>
      </c>
      <c r="C32" s="6" t="s">
        <v>62</v>
      </c>
      <c r="D32" s="7" t="s">
        <v>16</v>
      </c>
      <c r="E32" s="8" t="s">
        <v>17</v>
      </c>
      <c r="F32" s="6"/>
      <c r="G32" s="6"/>
    </row>
    <row r="33" spans="1:7" ht="36" customHeight="1" x14ac:dyDescent="0.3">
      <c r="A33" s="9" t="s">
        <v>63</v>
      </c>
      <c r="B33" s="5" t="s">
        <v>51</v>
      </c>
      <c r="C33" s="10" t="s">
        <v>64</v>
      </c>
      <c r="D33" s="7" t="s">
        <v>16</v>
      </c>
      <c r="E33" s="11" t="s">
        <v>17</v>
      </c>
      <c r="F33" s="10"/>
      <c r="G33" s="10"/>
    </row>
    <row r="34" spans="1:7" ht="36" customHeight="1" x14ac:dyDescent="0.3">
      <c r="A34" s="4" t="s">
        <v>65</v>
      </c>
      <c r="B34" s="5" t="s">
        <v>66</v>
      </c>
      <c r="C34" s="6" t="s">
        <v>67</v>
      </c>
      <c r="D34" s="7" t="s">
        <v>16</v>
      </c>
      <c r="E34" s="8" t="s">
        <v>17</v>
      </c>
      <c r="F34" s="6"/>
      <c r="G34" s="6"/>
    </row>
    <row r="35" spans="1:7" ht="36" customHeight="1" x14ac:dyDescent="0.3">
      <c r="A35" s="9" t="s">
        <v>68</v>
      </c>
      <c r="B35" s="5" t="s">
        <v>66</v>
      </c>
      <c r="C35" s="10" t="s">
        <v>69</v>
      </c>
      <c r="D35" s="7" t="s">
        <v>16</v>
      </c>
      <c r="E35" s="11" t="s">
        <v>17</v>
      </c>
      <c r="F35" s="10"/>
      <c r="G35" s="10"/>
    </row>
    <row r="36" spans="1:7" ht="36" customHeight="1" x14ac:dyDescent="0.3">
      <c r="A36" s="4" t="s">
        <v>70</v>
      </c>
      <c r="B36" s="5" t="s">
        <v>66</v>
      </c>
      <c r="C36" s="6" t="s">
        <v>71</v>
      </c>
      <c r="D36" s="7" t="s">
        <v>16</v>
      </c>
      <c r="E36" s="8" t="s">
        <v>17</v>
      </c>
      <c r="F36" s="6"/>
      <c r="G36" s="6"/>
    </row>
    <row r="37" spans="1:7" ht="36" customHeight="1" x14ac:dyDescent="0.3">
      <c r="A37" s="9" t="s">
        <v>72</v>
      </c>
      <c r="B37" s="5" t="s">
        <v>66</v>
      </c>
      <c r="C37" s="10" t="s">
        <v>73</v>
      </c>
      <c r="D37" s="7" t="s">
        <v>16</v>
      </c>
      <c r="E37" s="11" t="s">
        <v>17</v>
      </c>
      <c r="F37" s="10"/>
      <c r="G37" s="10"/>
    </row>
    <row r="38" spans="1:7" ht="36" customHeight="1" x14ac:dyDescent="0.3">
      <c r="A38" s="4" t="s">
        <v>74</v>
      </c>
      <c r="B38" s="5" t="s">
        <v>66</v>
      </c>
      <c r="C38" s="6" t="s">
        <v>75</v>
      </c>
      <c r="D38" s="7" t="s">
        <v>16</v>
      </c>
      <c r="E38" s="8" t="s">
        <v>17</v>
      </c>
      <c r="F38" s="6"/>
      <c r="G38" s="6"/>
    </row>
    <row r="39" spans="1:7" ht="36" customHeight="1" x14ac:dyDescent="0.3">
      <c r="A39" s="9" t="s">
        <v>76</v>
      </c>
      <c r="B39" s="5" t="s">
        <v>66</v>
      </c>
      <c r="C39" s="10" t="s">
        <v>77</v>
      </c>
      <c r="D39" s="7" t="s">
        <v>16</v>
      </c>
      <c r="E39" s="11" t="s">
        <v>17</v>
      </c>
      <c r="F39" s="10"/>
      <c r="G39" s="10"/>
    </row>
    <row r="40" spans="1:7" ht="36" customHeight="1" x14ac:dyDescent="0.3">
      <c r="A40" s="4" t="s">
        <v>78</v>
      </c>
      <c r="B40" s="5" t="s">
        <v>66</v>
      </c>
      <c r="C40" s="6" t="s">
        <v>79</v>
      </c>
      <c r="D40" s="7" t="s">
        <v>16</v>
      </c>
      <c r="E40" s="8" t="s">
        <v>17</v>
      </c>
      <c r="F40" s="6"/>
      <c r="G40" s="6"/>
    </row>
    <row r="41" spans="1:7" ht="36" customHeight="1" x14ac:dyDescent="0.3">
      <c r="A41" s="9" t="s">
        <v>80</v>
      </c>
      <c r="B41" s="5" t="s">
        <v>66</v>
      </c>
      <c r="C41" s="10" t="s">
        <v>81</v>
      </c>
      <c r="D41" s="7" t="s">
        <v>16</v>
      </c>
      <c r="E41" s="11" t="s">
        <v>17</v>
      </c>
      <c r="F41" s="10"/>
      <c r="G41" s="10"/>
    </row>
    <row r="42" spans="1:7" ht="36" customHeight="1" x14ac:dyDescent="0.3">
      <c r="A42" s="4" t="s">
        <v>82</v>
      </c>
      <c r="B42" s="5" t="s">
        <v>66</v>
      </c>
      <c r="C42" s="6" t="s">
        <v>83</v>
      </c>
      <c r="D42" s="7" t="s">
        <v>16</v>
      </c>
      <c r="E42" s="8" t="s">
        <v>17</v>
      </c>
      <c r="F42" s="6"/>
      <c r="G42" s="6"/>
    </row>
    <row r="43" spans="1:7" ht="36" customHeight="1" x14ac:dyDescent="0.3">
      <c r="A43" s="9" t="s">
        <v>84</v>
      </c>
      <c r="B43" s="5" t="s">
        <v>66</v>
      </c>
      <c r="C43" s="10" t="s">
        <v>85</v>
      </c>
      <c r="D43" s="7" t="s">
        <v>16</v>
      </c>
      <c r="E43" s="11" t="s">
        <v>17</v>
      </c>
      <c r="F43" s="10"/>
      <c r="G43" s="10"/>
    </row>
    <row r="44" spans="1:7" ht="36" customHeight="1" x14ac:dyDescent="0.3">
      <c r="A44" s="4" t="s">
        <v>86</v>
      </c>
      <c r="B44" s="5" t="s">
        <v>66</v>
      </c>
      <c r="C44" s="6" t="s">
        <v>87</v>
      </c>
      <c r="D44" s="7" t="s">
        <v>16</v>
      </c>
      <c r="E44" s="8" t="s">
        <v>17</v>
      </c>
      <c r="F44" s="6"/>
      <c r="G44" s="6"/>
    </row>
    <row r="45" spans="1:7" ht="36" customHeight="1" x14ac:dyDescent="0.3">
      <c r="A45" s="9" t="s">
        <v>88</v>
      </c>
      <c r="B45" s="5" t="s">
        <v>66</v>
      </c>
      <c r="C45" s="10" t="s">
        <v>89</v>
      </c>
      <c r="D45" s="7" t="s">
        <v>16</v>
      </c>
      <c r="E45" s="11" t="s">
        <v>17</v>
      </c>
      <c r="F45" s="10"/>
      <c r="G45" s="10"/>
    </row>
    <row r="46" spans="1:7" ht="36" customHeight="1" x14ac:dyDescent="0.3">
      <c r="A46" s="4" t="s">
        <v>90</v>
      </c>
      <c r="B46" s="5" t="s">
        <v>66</v>
      </c>
      <c r="C46" s="6" t="s">
        <v>91</v>
      </c>
      <c r="D46" s="7" t="s">
        <v>16</v>
      </c>
      <c r="E46" s="8" t="s">
        <v>17</v>
      </c>
      <c r="F46" s="6"/>
      <c r="G46" s="6"/>
    </row>
    <row r="47" spans="1:7" ht="36" customHeight="1" x14ac:dyDescent="0.3">
      <c r="A47" s="9" t="s">
        <v>92</v>
      </c>
      <c r="B47" s="5" t="s">
        <v>66</v>
      </c>
      <c r="C47" s="10" t="s">
        <v>93</v>
      </c>
      <c r="D47" s="7" t="s">
        <v>16</v>
      </c>
      <c r="E47" s="11" t="s">
        <v>17</v>
      </c>
      <c r="F47" s="10"/>
      <c r="G47" s="10"/>
    </row>
    <row r="48" spans="1:7" ht="36" customHeight="1" x14ac:dyDescent="0.3">
      <c r="A48" s="4" t="s">
        <v>94</v>
      </c>
      <c r="B48" s="5" t="s">
        <v>66</v>
      </c>
      <c r="C48" s="6" t="s">
        <v>95</v>
      </c>
      <c r="D48" s="7" t="s">
        <v>16</v>
      </c>
      <c r="E48" s="8" t="s">
        <v>17</v>
      </c>
      <c r="F48" s="6"/>
      <c r="G48" s="6"/>
    </row>
    <row r="49" spans="1:7" ht="36" customHeight="1" x14ac:dyDescent="0.3">
      <c r="A49" s="9" t="s">
        <v>96</v>
      </c>
      <c r="B49" s="5" t="s">
        <v>66</v>
      </c>
      <c r="C49" s="10" t="s">
        <v>97</v>
      </c>
      <c r="D49" s="7" t="s">
        <v>16</v>
      </c>
      <c r="E49" s="11" t="s">
        <v>17</v>
      </c>
      <c r="F49" s="10"/>
      <c r="G49" s="10"/>
    </row>
    <row r="50" spans="1:7" ht="36" customHeight="1" x14ac:dyDescent="0.3">
      <c r="A50" s="4" t="s">
        <v>98</v>
      </c>
      <c r="B50" s="5" t="s">
        <v>66</v>
      </c>
      <c r="C50" s="6" t="s">
        <v>99</v>
      </c>
      <c r="D50" s="7" t="s">
        <v>16</v>
      </c>
      <c r="E50" s="8" t="s">
        <v>17</v>
      </c>
      <c r="F50" s="6"/>
      <c r="G50" s="6"/>
    </row>
    <row r="51" spans="1:7" ht="36" customHeight="1" x14ac:dyDescent="0.3">
      <c r="A51" s="9" t="s">
        <v>100</v>
      </c>
      <c r="B51" s="5" t="s">
        <v>66</v>
      </c>
      <c r="C51" s="10" t="s">
        <v>101</v>
      </c>
      <c r="D51" s="7" t="s">
        <v>16</v>
      </c>
      <c r="E51" s="11" t="s">
        <v>17</v>
      </c>
      <c r="F51" s="10"/>
      <c r="G51" s="10"/>
    </row>
    <row r="52" spans="1:7" ht="36" customHeight="1" x14ac:dyDescent="0.3">
      <c r="A52" s="4" t="s">
        <v>102</v>
      </c>
      <c r="B52" s="5" t="s">
        <v>66</v>
      </c>
      <c r="C52" s="6" t="s">
        <v>103</v>
      </c>
      <c r="D52" s="7" t="s">
        <v>16</v>
      </c>
      <c r="E52" s="8" t="s">
        <v>17</v>
      </c>
      <c r="F52" s="6"/>
      <c r="G52" s="6"/>
    </row>
    <row r="53" spans="1:7" ht="36" customHeight="1" x14ac:dyDescent="0.3">
      <c r="A53" s="9" t="s">
        <v>104</v>
      </c>
      <c r="B53" s="5" t="s">
        <v>66</v>
      </c>
      <c r="C53" s="10" t="s">
        <v>105</v>
      </c>
      <c r="D53" s="7" t="s">
        <v>16</v>
      </c>
      <c r="E53" s="11" t="s">
        <v>17</v>
      </c>
      <c r="F53" s="10"/>
      <c r="G53" s="10"/>
    </row>
    <row r="54" spans="1:7" ht="36" customHeight="1" x14ac:dyDescent="0.3">
      <c r="A54" s="4" t="s">
        <v>106</v>
      </c>
      <c r="B54" s="5" t="s">
        <v>66</v>
      </c>
      <c r="C54" s="6" t="s">
        <v>107</v>
      </c>
      <c r="D54" s="7" t="s">
        <v>16</v>
      </c>
      <c r="E54" s="8" t="s">
        <v>17</v>
      </c>
      <c r="F54" s="6"/>
      <c r="G54" s="6"/>
    </row>
    <row r="55" spans="1:7" ht="36" customHeight="1" x14ac:dyDescent="0.3">
      <c r="A55" s="9" t="s">
        <v>108</v>
      </c>
      <c r="B55" s="5" t="s">
        <v>66</v>
      </c>
      <c r="C55" s="10" t="s">
        <v>109</v>
      </c>
      <c r="D55" s="7" t="s">
        <v>16</v>
      </c>
      <c r="E55" s="11" t="s">
        <v>17</v>
      </c>
      <c r="F55" s="10"/>
      <c r="G55" s="10"/>
    </row>
    <row r="56" spans="1:7" ht="36" customHeight="1" x14ac:dyDescent="0.3">
      <c r="A56" s="4" t="s">
        <v>110</v>
      </c>
      <c r="B56" s="5" t="s">
        <v>66</v>
      </c>
      <c r="C56" s="6" t="s">
        <v>111</v>
      </c>
      <c r="D56" s="7" t="s">
        <v>16</v>
      </c>
      <c r="E56" s="8" t="s">
        <v>17</v>
      </c>
      <c r="F56" s="6"/>
      <c r="G56" s="6"/>
    </row>
    <row r="57" spans="1:7" ht="36" customHeight="1" x14ac:dyDescent="0.3">
      <c r="A57" s="9" t="s">
        <v>112</v>
      </c>
      <c r="B57" s="5" t="s">
        <v>66</v>
      </c>
      <c r="C57" s="10" t="s">
        <v>113</v>
      </c>
      <c r="D57" s="7" t="s">
        <v>16</v>
      </c>
      <c r="E57" s="11" t="s">
        <v>17</v>
      </c>
      <c r="F57" s="10"/>
      <c r="G57" s="10"/>
    </row>
    <row r="58" spans="1:7" ht="36" customHeight="1" x14ac:dyDescent="0.3">
      <c r="A58" s="4" t="s">
        <v>114</v>
      </c>
      <c r="B58" s="5" t="s">
        <v>66</v>
      </c>
      <c r="C58" s="6" t="s">
        <v>115</v>
      </c>
      <c r="D58" s="7" t="s">
        <v>16</v>
      </c>
      <c r="E58" s="8" t="s">
        <v>17</v>
      </c>
      <c r="F58" s="6"/>
      <c r="G58" s="6"/>
    </row>
    <row r="59" spans="1:7" ht="36" customHeight="1" x14ac:dyDescent="0.3">
      <c r="A59" s="9" t="s">
        <v>116</v>
      </c>
      <c r="B59" s="5" t="s">
        <v>66</v>
      </c>
      <c r="C59" s="10" t="s">
        <v>117</v>
      </c>
      <c r="D59" s="7" t="s">
        <v>16</v>
      </c>
      <c r="E59" s="11" t="s">
        <v>17</v>
      </c>
      <c r="F59" s="10"/>
      <c r="G59" s="10"/>
    </row>
    <row r="60" spans="1:7" ht="36" customHeight="1" x14ac:dyDescent="0.3">
      <c r="A60" s="4" t="s">
        <v>118</v>
      </c>
      <c r="B60" s="5" t="s">
        <v>66</v>
      </c>
      <c r="C60" s="6" t="s">
        <v>119</v>
      </c>
      <c r="D60" s="7" t="s">
        <v>16</v>
      </c>
      <c r="E60" s="8" t="s">
        <v>17</v>
      </c>
      <c r="F60" s="6"/>
      <c r="G60" s="6"/>
    </row>
    <row r="61" spans="1:7" ht="36" customHeight="1" x14ac:dyDescent="0.3">
      <c r="A61" s="9" t="s">
        <v>120</v>
      </c>
      <c r="B61" s="5" t="s">
        <v>66</v>
      </c>
      <c r="C61" s="10" t="s">
        <v>121</v>
      </c>
      <c r="D61" s="7" t="s">
        <v>16</v>
      </c>
      <c r="E61" s="11" t="s">
        <v>17</v>
      </c>
      <c r="F61" s="10"/>
      <c r="G61" s="10"/>
    </row>
    <row r="62" spans="1:7" ht="36" customHeight="1" x14ac:dyDescent="0.3">
      <c r="A62" s="4" t="s">
        <v>122</v>
      </c>
      <c r="B62" s="5" t="s">
        <v>66</v>
      </c>
      <c r="C62" s="6" t="s">
        <v>123</v>
      </c>
      <c r="D62" s="7" t="s">
        <v>16</v>
      </c>
      <c r="E62" s="8" t="s">
        <v>17</v>
      </c>
      <c r="F62" s="6"/>
      <c r="G62" s="6"/>
    </row>
    <row r="63" spans="1:7" ht="36" customHeight="1" x14ac:dyDescent="0.3">
      <c r="A63" s="9" t="s">
        <v>124</v>
      </c>
      <c r="B63" s="5" t="s">
        <v>66</v>
      </c>
      <c r="C63" s="10" t="s">
        <v>125</v>
      </c>
      <c r="D63" s="7" t="s">
        <v>16</v>
      </c>
      <c r="E63" s="11" t="s">
        <v>17</v>
      </c>
      <c r="F63" s="10"/>
      <c r="G63" s="10"/>
    </row>
    <row r="64" spans="1:7" ht="36" customHeight="1" x14ac:dyDescent="0.3">
      <c r="A64" s="4" t="s">
        <v>126</v>
      </c>
      <c r="B64" s="5" t="s">
        <v>66</v>
      </c>
      <c r="C64" s="6" t="s">
        <v>127</v>
      </c>
      <c r="D64" s="7" t="s">
        <v>16</v>
      </c>
      <c r="E64" s="8" t="s">
        <v>17</v>
      </c>
      <c r="F64" s="6"/>
      <c r="G64" s="6"/>
    </row>
    <row r="65" spans="1:7" ht="36" customHeight="1" x14ac:dyDescent="0.3">
      <c r="A65" s="9" t="s">
        <v>128</v>
      </c>
      <c r="B65" s="5" t="s">
        <v>66</v>
      </c>
      <c r="C65" s="10" t="s">
        <v>129</v>
      </c>
      <c r="D65" s="7" t="s">
        <v>16</v>
      </c>
      <c r="E65" s="11" t="s">
        <v>17</v>
      </c>
      <c r="F65" s="10"/>
      <c r="G65" s="10"/>
    </row>
    <row r="66" spans="1:7" ht="36" customHeight="1" x14ac:dyDescent="0.3">
      <c r="A66" s="4" t="s">
        <v>130</v>
      </c>
      <c r="B66" s="5" t="s">
        <v>66</v>
      </c>
      <c r="C66" s="6" t="s">
        <v>131</v>
      </c>
      <c r="D66" s="7" t="s">
        <v>16</v>
      </c>
      <c r="E66" s="8" t="s">
        <v>17</v>
      </c>
      <c r="F66" s="6"/>
      <c r="G66" s="6"/>
    </row>
    <row r="67" spans="1:7" ht="36" customHeight="1" x14ac:dyDescent="0.3">
      <c r="A67" s="9" t="s">
        <v>132</v>
      </c>
      <c r="B67" s="5" t="s">
        <v>66</v>
      </c>
      <c r="C67" s="10" t="s">
        <v>133</v>
      </c>
      <c r="D67" s="7" t="s">
        <v>16</v>
      </c>
      <c r="E67" s="11" t="s">
        <v>17</v>
      </c>
      <c r="F67" s="10"/>
      <c r="G67" s="10"/>
    </row>
    <row r="68" spans="1:7" ht="36" customHeight="1" x14ac:dyDescent="0.3">
      <c r="A68" s="4" t="s">
        <v>134</v>
      </c>
      <c r="B68" s="5" t="s">
        <v>66</v>
      </c>
      <c r="C68" s="6" t="s">
        <v>135</v>
      </c>
      <c r="D68" s="7" t="s">
        <v>16</v>
      </c>
      <c r="E68" s="8" t="s">
        <v>17</v>
      </c>
      <c r="F68" s="6"/>
      <c r="G68" s="6"/>
    </row>
    <row r="69" spans="1:7" ht="36" customHeight="1" x14ac:dyDescent="0.3">
      <c r="A69" s="9" t="s">
        <v>136</v>
      </c>
      <c r="B69" s="5" t="s">
        <v>137</v>
      </c>
      <c r="C69" s="10" t="s">
        <v>138</v>
      </c>
      <c r="D69" s="7" t="s">
        <v>16</v>
      </c>
      <c r="E69" s="11" t="s">
        <v>17</v>
      </c>
      <c r="F69" s="10"/>
      <c r="G69" s="10"/>
    </row>
    <row r="70" spans="1:7" ht="36" customHeight="1" x14ac:dyDescent="0.3">
      <c r="A70" s="4" t="s">
        <v>139</v>
      </c>
      <c r="B70" s="5" t="s">
        <v>137</v>
      </c>
      <c r="C70" s="6" t="s">
        <v>140</v>
      </c>
      <c r="D70" s="7" t="s">
        <v>16</v>
      </c>
      <c r="E70" s="8" t="s">
        <v>17</v>
      </c>
      <c r="F70" s="6"/>
      <c r="G70" s="6"/>
    </row>
    <row r="71" spans="1:7" ht="36" customHeight="1" x14ac:dyDescent="0.3">
      <c r="A71" s="9" t="s">
        <v>141</v>
      </c>
      <c r="B71" s="5" t="s">
        <v>137</v>
      </c>
      <c r="C71" s="10" t="s">
        <v>142</v>
      </c>
      <c r="D71" s="7" t="s">
        <v>16</v>
      </c>
      <c r="E71" s="11" t="s">
        <v>17</v>
      </c>
      <c r="F71" s="10"/>
      <c r="G71" s="10"/>
    </row>
    <row r="72" spans="1:7" ht="36" customHeight="1" x14ac:dyDescent="0.3">
      <c r="A72" s="4" t="s">
        <v>143</v>
      </c>
      <c r="B72" s="5" t="s">
        <v>137</v>
      </c>
      <c r="C72" s="6" t="s">
        <v>144</v>
      </c>
      <c r="D72" s="7" t="s">
        <v>16</v>
      </c>
      <c r="E72" s="8" t="s">
        <v>17</v>
      </c>
      <c r="F72" s="6"/>
      <c r="G72" s="6"/>
    </row>
    <row r="73" spans="1:7" ht="36" customHeight="1" x14ac:dyDescent="0.3">
      <c r="A73" s="9" t="s">
        <v>145</v>
      </c>
      <c r="B73" s="5" t="s">
        <v>137</v>
      </c>
      <c r="C73" s="10" t="s">
        <v>146</v>
      </c>
      <c r="D73" s="7" t="s">
        <v>16</v>
      </c>
      <c r="E73" s="11" t="s">
        <v>17</v>
      </c>
      <c r="F73" s="10"/>
      <c r="G73" s="10"/>
    </row>
    <row r="74" spans="1:7" ht="36" customHeight="1" x14ac:dyDescent="0.3">
      <c r="A74" s="4" t="s">
        <v>147</v>
      </c>
      <c r="B74" s="5" t="s">
        <v>137</v>
      </c>
      <c r="C74" s="6" t="s">
        <v>148</v>
      </c>
      <c r="D74" s="7" t="s">
        <v>16</v>
      </c>
      <c r="E74" s="8" t="s">
        <v>17</v>
      </c>
      <c r="F74" s="6"/>
      <c r="G74" s="6"/>
    </row>
    <row r="75" spans="1:7" ht="36" customHeight="1" x14ac:dyDescent="0.3">
      <c r="A75" s="9" t="s">
        <v>149</v>
      </c>
      <c r="B75" s="5" t="s">
        <v>137</v>
      </c>
      <c r="C75" s="10" t="s">
        <v>150</v>
      </c>
      <c r="D75" s="7" t="s">
        <v>16</v>
      </c>
      <c r="E75" s="11" t="s">
        <v>17</v>
      </c>
      <c r="F75" s="10"/>
      <c r="G75" s="10"/>
    </row>
    <row r="76" spans="1:7" ht="36" customHeight="1" x14ac:dyDescent="0.3">
      <c r="A76" s="4" t="s">
        <v>151</v>
      </c>
      <c r="B76" s="5" t="s">
        <v>137</v>
      </c>
      <c r="C76" s="6" t="s">
        <v>152</v>
      </c>
      <c r="D76" s="7" t="s">
        <v>16</v>
      </c>
      <c r="E76" s="8" t="s">
        <v>17</v>
      </c>
      <c r="F76" s="6"/>
      <c r="G76" s="6"/>
    </row>
    <row r="77" spans="1:7" ht="36" customHeight="1" x14ac:dyDescent="0.3">
      <c r="A77" s="9" t="s">
        <v>153</v>
      </c>
      <c r="B77" s="5" t="s">
        <v>137</v>
      </c>
      <c r="C77" s="10" t="s">
        <v>154</v>
      </c>
      <c r="D77" s="7" t="s">
        <v>16</v>
      </c>
      <c r="E77" s="11" t="s">
        <v>17</v>
      </c>
      <c r="F77" s="10"/>
      <c r="G77" s="10"/>
    </row>
    <row r="78" spans="1:7" ht="36" customHeight="1" x14ac:dyDescent="0.3">
      <c r="A78" s="4" t="s">
        <v>155</v>
      </c>
      <c r="B78" s="5" t="s">
        <v>137</v>
      </c>
      <c r="C78" s="6" t="s">
        <v>156</v>
      </c>
      <c r="D78" s="7" t="s">
        <v>16</v>
      </c>
      <c r="E78" s="8" t="s">
        <v>17</v>
      </c>
      <c r="F78" s="6"/>
      <c r="G78" s="6"/>
    </row>
    <row r="79" spans="1:7" ht="36" customHeight="1" x14ac:dyDescent="0.3">
      <c r="A79" s="9" t="s">
        <v>157</v>
      </c>
      <c r="B79" s="5" t="s">
        <v>137</v>
      </c>
      <c r="C79" s="10" t="s">
        <v>158</v>
      </c>
      <c r="D79" s="7" t="s">
        <v>16</v>
      </c>
      <c r="E79" s="11" t="s">
        <v>17</v>
      </c>
      <c r="F79" s="10"/>
      <c r="G79" s="10"/>
    </row>
    <row r="80" spans="1:7" ht="36" customHeight="1" x14ac:dyDescent="0.3">
      <c r="A80" s="4" t="s">
        <v>159</v>
      </c>
      <c r="B80" s="5" t="s">
        <v>137</v>
      </c>
      <c r="C80" s="6" t="s">
        <v>160</v>
      </c>
      <c r="D80" s="7" t="s">
        <v>16</v>
      </c>
      <c r="E80" s="8" t="s">
        <v>17</v>
      </c>
      <c r="F80" s="6"/>
      <c r="G80" s="6"/>
    </row>
    <row r="81" spans="1:7" ht="36" customHeight="1" x14ac:dyDescent="0.3">
      <c r="A81" s="9" t="s">
        <v>161</v>
      </c>
      <c r="B81" s="5" t="s">
        <v>137</v>
      </c>
      <c r="C81" s="10" t="s">
        <v>162</v>
      </c>
      <c r="D81" s="7" t="s">
        <v>16</v>
      </c>
      <c r="E81" s="11" t="s">
        <v>17</v>
      </c>
      <c r="F81" s="10"/>
      <c r="G81" s="10"/>
    </row>
    <row r="82" spans="1:7" ht="36" customHeight="1" x14ac:dyDescent="0.3">
      <c r="A82" s="4" t="s">
        <v>163</v>
      </c>
      <c r="B82" s="5" t="s">
        <v>137</v>
      </c>
      <c r="C82" s="6" t="s">
        <v>164</v>
      </c>
      <c r="D82" s="7" t="s">
        <v>16</v>
      </c>
      <c r="E82" s="8" t="s">
        <v>17</v>
      </c>
      <c r="F82" s="6"/>
      <c r="G82" s="6"/>
    </row>
    <row r="83" spans="1:7" ht="36" customHeight="1" x14ac:dyDescent="0.3">
      <c r="A83" s="9" t="s">
        <v>165</v>
      </c>
      <c r="B83" s="5" t="s">
        <v>137</v>
      </c>
      <c r="C83" s="10" t="s">
        <v>166</v>
      </c>
      <c r="D83" s="7" t="s">
        <v>16</v>
      </c>
      <c r="E83" s="11" t="s">
        <v>17</v>
      </c>
      <c r="F83" s="10"/>
      <c r="G83" s="10"/>
    </row>
    <row r="84" spans="1:7" ht="36" customHeight="1" x14ac:dyDescent="0.3">
      <c r="A84" s="4" t="s">
        <v>167</v>
      </c>
      <c r="B84" s="5" t="s">
        <v>137</v>
      </c>
      <c r="C84" s="6" t="s">
        <v>168</v>
      </c>
      <c r="D84" s="7" t="s">
        <v>16</v>
      </c>
      <c r="E84" s="8" t="s">
        <v>17</v>
      </c>
      <c r="F84" s="6"/>
      <c r="G84" s="6"/>
    </row>
    <row r="85" spans="1:7" ht="36" customHeight="1" x14ac:dyDescent="0.3">
      <c r="A85" s="9" t="s">
        <v>169</v>
      </c>
      <c r="B85" s="5" t="s">
        <v>137</v>
      </c>
      <c r="C85" s="10" t="s">
        <v>170</v>
      </c>
      <c r="D85" s="7" t="s">
        <v>16</v>
      </c>
      <c r="E85" s="11" t="s">
        <v>17</v>
      </c>
      <c r="F85" s="10"/>
      <c r="G85" s="10"/>
    </row>
    <row r="86" spans="1:7" ht="36" customHeight="1" x14ac:dyDescent="0.3">
      <c r="A86" s="4" t="s">
        <v>171</v>
      </c>
      <c r="B86" s="5" t="s">
        <v>137</v>
      </c>
      <c r="C86" s="6" t="s">
        <v>172</v>
      </c>
      <c r="D86" s="7" t="s">
        <v>16</v>
      </c>
      <c r="E86" s="8" t="s">
        <v>17</v>
      </c>
      <c r="F86" s="6"/>
      <c r="G86" s="6"/>
    </row>
    <row r="87" spans="1:7" ht="36" customHeight="1" x14ac:dyDescent="0.3">
      <c r="A87" s="9" t="s">
        <v>173</v>
      </c>
      <c r="B87" s="5" t="s">
        <v>137</v>
      </c>
      <c r="C87" s="10" t="s">
        <v>174</v>
      </c>
      <c r="D87" s="7" t="s">
        <v>16</v>
      </c>
      <c r="E87" s="11" t="s">
        <v>17</v>
      </c>
      <c r="F87" s="10"/>
      <c r="G87" s="10"/>
    </row>
    <row r="88" spans="1:7" ht="36" customHeight="1" x14ac:dyDescent="0.3">
      <c r="A88" s="4" t="s">
        <v>175</v>
      </c>
      <c r="B88" s="5" t="s">
        <v>137</v>
      </c>
      <c r="C88" s="6" t="s">
        <v>176</v>
      </c>
      <c r="D88" s="7" t="s">
        <v>16</v>
      </c>
      <c r="E88" s="8" t="s">
        <v>17</v>
      </c>
      <c r="F88" s="6"/>
      <c r="G88" s="6"/>
    </row>
    <row r="89" spans="1:7" ht="36" customHeight="1" x14ac:dyDescent="0.3">
      <c r="A89" s="9" t="s">
        <v>177</v>
      </c>
      <c r="B89" s="5" t="s">
        <v>178</v>
      </c>
      <c r="C89" s="10" t="s">
        <v>179</v>
      </c>
      <c r="D89" s="7" t="s">
        <v>16</v>
      </c>
      <c r="E89" s="11" t="s">
        <v>17</v>
      </c>
      <c r="F89" s="10"/>
      <c r="G89" s="10"/>
    </row>
    <row r="90" spans="1:7" ht="36" customHeight="1" x14ac:dyDescent="0.3">
      <c r="A90" s="4" t="s">
        <v>180</v>
      </c>
      <c r="B90" s="5" t="s">
        <v>178</v>
      </c>
      <c r="C90" s="6" t="s">
        <v>181</v>
      </c>
      <c r="D90" s="7" t="s">
        <v>16</v>
      </c>
      <c r="E90" s="8" t="s">
        <v>17</v>
      </c>
      <c r="F90" s="6"/>
      <c r="G90" s="6"/>
    </row>
    <row r="91" spans="1:7" ht="36" customHeight="1" x14ac:dyDescent="0.3">
      <c r="A91" s="9" t="s">
        <v>182</v>
      </c>
      <c r="B91" s="5" t="s">
        <v>178</v>
      </c>
      <c r="C91" s="10" t="s">
        <v>183</v>
      </c>
      <c r="D91" s="7" t="s">
        <v>16</v>
      </c>
      <c r="E91" s="11" t="s">
        <v>17</v>
      </c>
      <c r="F91" s="10"/>
      <c r="G91" s="10"/>
    </row>
    <row r="92" spans="1:7" ht="36" customHeight="1" x14ac:dyDescent="0.3">
      <c r="A92" s="4" t="s">
        <v>184</v>
      </c>
      <c r="B92" s="5" t="s">
        <v>178</v>
      </c>
      <c r="C92" s="6" t="s">
        <v>185</v>
      </c>
      <c r="D92" s="7" t="s">
        <v>16</v>
      </c>
      <c r="E92" s="8" t="s">
        <v>17</v>
      </c>
      <c r="F92" s="6"/>
      <c r="G92" s="6"/>
    </row>
    <row r="93" spans="1:7" ht="36" customHeight="1" x14ac:dyDescent="0.3">
      <c r="A93" s="9" t="s">
        <v>186</v>
      </c>
      <c r="B93" s="5" t="s">
        <v>178</v>
      </c>
      <c r="C93" s="10" t="s">
        <v>187</v>
      </c>
      <c r="D93" s="7" t="s">
        <v>16</v>
      </c>
      <c r="E93" s="11" t="s">
        <v>17</v>
      </c>
      <c r="F93" s="10"/>
      <c r="G93" s="10"/>
    </row>
    <row r="94" spans="1:7" ht="36" customHeight="1" x14ac:dyDescent="0.3">
      <c r="A94" s="4" t="s">
        <v>188</v>
      </c>
      <c r="B94" s="5" t="s">
        <v>178</v>
      </c>
      <c r="C94" s="6" t="s">
        <v>189</v>
      </c>
      <c r="D94" s="7" t="s">
        <v>16</v>
      </c>
      <c r="E94" s="8" t="s">
        <v>17</v>
      </c>
      <c r="F94" s="6"/>
      <c r="G94" s="6"/>
    </row>
    <row r="95" spans="1:7" ht="36" customHeight="1" x14ac:dyDescent="0.3">
      <c r="A95" s="9" t="s">
        <v>190</v>
      </c>
      <c r="B95" s="5" t="s">
        <v>178</v>
      </c>
      <c r="C95" s="10" t="s">
        <v>191</v>
      </c>
      <c r="D95" s="7" t="s">
        <v>16</v>
      </c>
      <c r="E95" s="11" t="s">
        <v>17</v>
      </c>
      <c r="F95" s="10"/>
      <c r="G95" s="10"/>
    </row>
    <row r="96" spans="1:7" ht="36" customHeight="1" x14ac:dyDescent="0.3">
      <c r="A96" s="4" t="s">
        <v>192</v>
      </c>
      <c r="B96" s="5" t="s">
        <v>178</v>
      </c>
      <c r="C96" s="6" t="s">
        <v>193</v>
      </c>
      <c r="D96" s="7" t="s">
        <v>16</v>
      </c>
      <c r="E96" s="8" t="s">
        <v>17</v>
      </c>
      <c r="F96" s="6"/>
      <c r="G96" s="6"/>
    </row>
    <row r="97" spans="1:7" ht="36" customHeight="1" x14ac:dyDescent="0.3">
      <c r="A97" s="9" t="s">
        <v>194</v>
      </c>
      <c r="B97" s="5" t="s">
        <v>178</v>
      </c>
      <c r="C97" s="10" t="s">
        <v>195</v>
      </c>
      <c r="D97" s="7" t="s">
        <v>16</v>
      </c>
      <c r="E97" s="11" t="s">
        <v>17</v>
      </c>
      <c r="F97" s="10"/>
      <c r="G97" s="10"/>
    </row>
    <row r="98" spans="1:7" ht="36" customHeight="1" x14ac:dyDescent="0.3">
      <c r="A98" s="4" t="s">
        <v>196</v>
      </c>
      <c r="B98" s="5" t="s">
        <v>178</v>
      </c>
      <c r="C98" s="6" t="s">
        <v>197</v>
      </c>
      <c r="D98" s="7" t="s">
        <v>16</v>
      </c>
      <c r="E98" s="8" t="s">
        <v>17</v>
      </c>
      <c r="F98" s="6"/>
      <c r="G98" s="6"/>
    </row>
    <row r="99" spans="1:7" ht="36" customHeight="1" x14ac:dyDescent="0.3">
      <c r="A99" s="9" t="s">
        <v>198</v>
      </c>
      <c r="B99" s="5" t="s">
        <v>178</v>
      </c>
      <c r="C99" s="10" t="s">
        <v>199</v>
      </c>
      <c r="D99" s="7" t="s">
        <v>16</v>
      </c>
      <c r="E99" s="11" t="s">
        <v>17</v>
      </c>
      <c r="F99" s="10"/>
      <c r="G99" s="10"/>
    </row>
    <row r="100" spans="1:7" ht="36" customHeight="1" x14ac:dyDescent="0.3">
      <c r="A100" s="4" t="s">
        <v>200</v>
      </c>
      <c r="B100" s="5" t="s">
        <v>178</v>
      </c>
      <c r="C100" s="6" t="s">
        <v>201</v>
      </c>
      <c r="D100" s="7" t="s">
        <v>16</v>
      </c>
      <c r="E100" s="8" t="s">
        <v>17</v>
      </c>
      <c r="F100" s="6"/>
      <c r="G100" s="6"/>
    </row>
    <row r="101" spans="1:7" ht="36" customHeight="1" x14ac:dyDescent="0.3">
      <c r="A101" s="9" t="s">
        <v>202</v>
      </c>
      <c r="B101" s="5" t="s">
        <v>178</v>
      </c>
      <c r="C101" s="10" t="s">
        <v>203</v>
      </c>
      <c r="D101" s="7" t="s">
        <v>16</v>
      </c>
      <c r="E101" s="11" t="s">
        <v>17</v>
      </c>
      <c r="F101" s="10"/>
      <c r="G101" s="10"/>
    </row>
    <row r="102" spans="1:7" ht="36" customHeight="1" x14ac:dyDescent="0.3">
      <c r="A102" s="4" t="s">
        <v>204</v>
      </c>
      <c r="B102" s="5" t="s">
        <v>178</v>
      </c>
      <c r="C102" s="6" t="s">
        <v>205</v>
      </c>
      <c r="D102" s="7" t="s">
        <v>16</v>
      </c>
      <c r="E102" s="8" t="s">
        <v>17</v>
      </c>
      <c r="F102" s="6"/>
      <c r="G102" s="6"/>
    </row>
    <row r="103" spans="1:7" ht="36" customHeight="1" x14ac:dyDescent="0.3">
      <c r="A103" s="9" t="s">
        <v>206</v>
      </c>
      <c r="B103" s="5" t="s">
        <v>178</v>
      </c>
      <c r="C103" s="10" t="s">
        <v>207</v>
      </c>
      <c r="D103" s="7" t="s">
        <v>16</v>
      </c>
      <c r="E103" s="11" t="s">
        <v>17</v>
      </c>
      <c r="F103" s="10"/>
      <c r="G103" s="10"/>
    </row>
    <row r="104" spans="1:7" ht="36" customHeight="1" x14ac:dyDescent="0.3">
      <c r="A104" s="4" t="s">
        <v>208</v>
      </c>
      <c r="B104" s="5" t="s">
        <v>178</v>
      </c>
      <c r="C104" s="6" t="s">
        <v>209</v>
      </c>
      <c r="D104" s="7" t="s">
        <v>16</v>
      </c>
      <c r="E104" s="8" t="s">
        <v>17</v>
      </c>
      <c r="F104" s="6"/>
      <c r="G104" s="6"/>
    </row>
    <row r="105" spans="1:7" ht="36" customHeight="1" x14ac:dyDescent="0.3">
      <c r="A105" s="9" t="s">
        <v>210</v>
      </c>
      <c r="B105" s="5" t="s">
        <v>178</v>
      </c>
      <c r="C105" s="10" t="s">
        <v>211</v>
      </c>
      <c r="D105" s="7" t="s">
        <v>16</v>
      </c>
      <c r="E105" s="11" t="s">
        <v>17</v>
      </c>
      <c r="F105" s="10"/>
      <c r="G105" s="10"/>
    </row>
    <row r="106" spans="1:7" ht="36" customHeight="1" x14ac:dyDescent="0.3">
      <c r="A106" s="4" t="s">
        <v>212</v>
      </c>
      <c r="B106" s="5" t="s">
        <v>178</v>
      </c>
      <c r="C106" s="6" t="s">
        <v>213</v>
      </c>
      <c r="D106" s="7" t="s">
        <v>16</v>
      </c>
      <c r="E106" s="8" t="s">
        <v>17</v>
      </c>
      <c r="F106" s="6"/>
      <c r="G106" s="6"/>
    </row>
    <row r="107" spans="1:7" ht="36" customHeight="1" x14ac:dyDescent="0.3">
      <c r="A107" s="9" t="s">
        <v>214</v>
      </c>
      <c r="B107" s="5" t="s">
        <v>178</v>
      </c>
      <c r="C107" s="10" t="s">
        <v>215</v>
      </c>
      <c r="D107" s="7" t="s">
        <v>16</v>
      </c>
      <c r="E107" s="11" t="s">
        <v>17</v>
      </c>
      <c r="F107" s="10"/>
      <c r="G107" s="10"/>
    </row>
    <row r="108" spans="1:7" ht="36" customHeight="1" x14ac:dyDescent="0.3">
      <c r="A108" s="4" t="s">
        <v>216</v>
      </c>
      <c r="B108" s="5" t="s">
        <v>178</v>
      </c>
      <c r="C108" s="6" t="s">
        <v>217</v>
      </c>
      <c r="D108" s="7" t="s">
        <v>16</v>
      </c>
      <c r="E108" s="8" t="s">
        <v>17</v>
      </c>
      <c r="F108" s="6"/>
      <c r="G108" s="6"/>
    </row>
    <row r="109" spans="1:7" ht="36" customHeight="1" x14ac:dyDescent="0.3">
      <c r="A109" s="9" t="s">
        <v>218</v>
      </c>
      <c r="B109" s="5" t="s">
        <v>178</v>
      </c>
      <c r="C109" s="10" t="s">
        <v>219</v>
      </c>
      <c r="D109" s="7" t="s">
        <v>16</v>
      </c>
      <c r="E109" s="11" t="s">
        <v>17</v>
      </c>
      <c r="F109" s="10"/>
      <c r="G109" s="10"/>
    </row>
    <row r="110" spans="1:7" ht="36" customHeight="1" x14ac:dyDescent="0.3">
      <c r="A110" s="4" t="s">
        <v>220</v>
      </c>
      <c r="B110" s="5" t="s">
        <v>178</v>
      </c>
      <c r="C110" s="6" t="s">
        <v>221</v>
      </c>
      <c r="D110" s="7" t="s">
        <v>16</v>
      </c>
      <c r="E110" s="8" t="s">
        <v>17</v>
      </c>
      <c r="F110" s="6"/>
      <c r="G110" s="6"/>
    </row>
    <row r="111" spans="1:7" ht="36" customHeight="1" x14ac:dyDescent="0.3">
      <c r="A111" s="9" t="s">
        <v>222</v>
      </c>
      <c r="B111" s="5" t="s">
        <v>178</v>
      </c>
      <c r="C111" s="10" t="s">
        <v>223</v>
      </c>
      <c r="D111" s="7" t="s">
        <v>16</v>
      </c>
      <c r="E111" s="11" t="s">
        <v>17</v>
      </c>
      <c r="F111" s="10"/>
      <c r="G111" s="10"/>
    </row>
    <row r="112" spans="1:7" ht="36" customHeight="1" x14ac:dyDescent="0.3">
      <c r="A112" s="4" t="s">
        <v>224</v>
      </c>
      <c r="B112" s="5" t="s">
        <v>178</v>
      </c>
      <c r="C112" s="6" t="s">
        <v>225</v>
      </c>
      <c r="D112" s="7" t="s">
        <v>16</v>
      </c>
      <c r="E112" s="8" t="s">
        <v>17</v>
      </c>
      <c r="F112" s="6"/>
      <c r="G112" s="6"/>
    </row>
    <row r="113" spans="1:7" ht="36" customHeight="1" x14ac:dyDescent="0.3">
      <c r="A113" s="9" t="s">
        <v>226</v>
      </c>
      <c r="B113" s="5" t="s">
        <v>227</v>
      </c>
      <c r="C113" s="10" t="s">
        <v>228</v>
      </c>
      <c r="D113" s="7" t="s">
        <v>16</v>
      </c>
      <c r="E113" s="11" t="s">
        <v>17</v>
      </c>
      <c r="F113" s="10"/>
      <c r="G113" s="10"/>
    </row>
    <row r="114" spans="1:7" ht="36" customHeight="1" x14ac:dyDescent="0.3">
      <c r="A114" s="4" t="s">
        <v>229</v>
      </c>
      <c r="B114" s="5" t="s">
        <v>227</v>
      </c>
      <c r="C114" s="6" t="s">
        <v>230</v>
      </c>
      <c r="D114" s="7" t="s">
        <v>16</v>
      </c>
      <c r="E114" s="8" t="s">
        <v>17</v>
      </c>
      <c r="F114" s="6"/>
      <c r="G114" s="6"/>
    </row>
    <row r="115" spans="1:7" ht="36" customHeight="1" x14ac:dyDescent="0.3">
      <c r="A115" s="9" t="s">
        <v>231</v>
      </c>
      <c r="B115" s="5" t="s">
        <v>227</v>
      </c>
      <c r="C115" s="10" t="s">
        <v>232</v>
      </c>
      <c r="D115" s="7" t="s">
        <v>16</v>
      </c>
      <c r="E115" s="11" t="s">
        <v>17</v>
      </c>
      <c r="F115" s="10"/>
      <c r="G115" s="10"/>
    </row>
    <row r="116" spans="1:7" ht="36" customHeight="1" x14ac:dyDescent="0.3">
      <c r="A116" s="4" t="s">
        <v>233</v>
      </c>
      <c r="B116" s="5" t="s">
        <v>227</v>
      </c>
      <c r="C116" s="6" t="s">
        <v>234</v>
      </c>
      <c r="D116" s="7" t="s">
        <v>16</v>
      </c>
      <c r="E116" s="8" t="s">
        <v>17</v>
      </c>
      <c r="F116" s="6"/>
      <c r="G116" s="6"/>
    </row>
    <row r="117" spans="1:7" ht="36" customHeight="1" x14ac:dyDescent="0.3">
      <c r="A117" s="9" t="s">
        <v>235</v>
      </c>
      <c r="B117" s="5" t="s">
        <v>227</v>
      </c>
      <c r="C117" s="10" t="s">
        <v>236</v>
      </c>
      <c r="D117" s="7" t="s">
        <v>16</v>
      </c>
      <c r="E117" s="11" t="s">
        <v>17</v>
      </c>
      <c r="F117" s="10"/>
      <c r="G117" s="10"/>
    </row>
    <row r="118" spans="1:7" ht="36" customHeight="1" x14ac:dyDescent="0.3">
      <c r="A118" s="4" t="s">
        <v>237</v>
      </c>
      <c r="B118" s="5" t="s">
        <v>227</v>
      </c>
      <c r="C118" s="6" t="s">
        <v>238</v>
      </c>
      <c r="D118" s="7" t="s">
        <v>16</v>
      </c>
      <c r="E118" s="8" t="s">
        <v>17</v>
      </c>
      <c r="F118" s="6"/>
      <c r="G118" s="6"/>
    </row>
    <row r="119" spans="1:7" ht="36" customHeight="1" x14ac:dyDescent="0.3">
      <c r="A119" s="9" t="s">
        <v>239</v>
      </c>
      <c r="B119" s="5" t="s">
        <v>240</v>
      </c>
      <c r="C119" s="10" t="s">
        <v>241</v>
      </c>
      <c r="D119" s="7" t="s">
        <v>16</v>
      </c>
      <c r="E119" s="11" t="s">
        <v>17</v>
      </c>
      <c r="F119" s="10"/>
      <c r="G119" s="10"/>
    </row>
    <row r="120" spans="1:7" ht="36" customHeight="1" x14ac:dyDescent="0.3">
      <c r="A120" s="4" t="s">
        <v>242</v>
      </c>
      <c r="B120" s="5" t="s">
        <v>240</v>
      </c>
      <c r="C120" s="6" t="s">
        <v>243</v>
      </c>
      <c r="D120" s="7" t="s">
        <v>16</v>
      </c>
      <c r="E120" s="8" t="s">
        <v>17</v>
      </c>
      <c r="F120" s="6"/>
      <c r="G120" s="6"/>
    </row>
    <row r="121" spans="1:7" ht="36" customHeight="1" x14ac:dyDescent="0.3">
      <c r="A121" s="9" t="s">
        <v>244</v>
      </c>
      <c r="B121" s="5" t="s">
        <v>240</v>
      </c>
      <c r="C121" s="10" t="s">
        <v>245</v>
      </c>
      <c r="D121" s="7" t="s">
        <v>16</v>
      </c>
      <c r="E121" s="11" t="s">
        <v>17</v>
      </c>
      <c r="F121" s="10"/>
      <c r="G121" s="10"/>
    </row>
    <row r="122" spans="1:7" ht="36" customHeight="1" x14ac:dyDescent="0.3">
      <c r="A122" s="4" t="s">
        <v>246</v>
      </c>
      <c r="B122" s="5" t="s">
        <v>240</v>
      </c>
      <c r="C122" s="6" t="s">
        <v>247</v>
      </c>
      <c r="D122" s="7" t="s">
        <v>16</v>
      </c>
      <c r="E122" s="8" t="s">
        <v>17</v>
      </c>
      <c r="F122" s="6"/>
      <c r="G122" s="6"/>
    </row>
    <row r="123" spans="1:7" ht="36" customHeight="1" x14ac:dyDescent="0.3">
      <c r="A123" s="9" t="s">
        <v>248</v>
      </c>
      <c r="B123" s="5" t="s">
        <v>240</v>
      </c>
      <c r="C123" s="10" t="s">
        <v>249</v>
      </c>
      <c r="D123" s="7" t="s">
        <v>16</v>
      </c>
      <c r="E123" s="11" t="s">
        <v>17</v>
      </c>
      <c r="F123" s="10"/>
      <c r="G123" s="10"/>
    </row>
    <row r="124" spans="1:7" ht="36" customHeight="1" x14ac:dyDescent="0.3">
      <c r="A124" s="4" t="s">
        <v>250</v>
      </c>
      <c r="B124" s="5" t="s">
        <v>240</v>
      </c>
      <c r="C124" s="6" t="s">
        <v>251</v>
      </c>
      <c r="D124" s="7" t="s">
        <v>16</v>
      </c>
      <c r="E124" s="8" t="s">
        <v>17</v>
      </c>
      <c r="F124" s="6"/>
      <c r="G124" s="6"/>
    </row>
    <row r="125" spans="1:7" ht="36" customHeight="1" x14ac:dyDescent="0.3">
      <c r="A125" s="9" t="s">
        <v>252</v>
      </c>
      <c r="B125" s="5" t="s">
        <v>240</v>
      </c>
      <c r="C125" s="10" t="s">
        <v>253</v>
      </c>
      <c r="D125" s="7" t="s">
        <v>16</v>
      </c>
      <c r="E125" s="11" t="s">
        <v>17</v>
      </c>
      <c r="F125" s="10"/>
      <c r="G125" s="10"/>
    </row>
    <row r="126" spans="1:7" ht="36" customHeight="1" x14ac:dyDescent="0.3">
      <c r="A126" s="4" t="s">
        <v>254</v>
      </c>
      <c r="B126" s="5" t="s">
        <v>240</v>
      </c>
      <c r="C126" s="6" t="s">
        <v>255</v>
      </c>
      <c r="D126" s="7" t="s">
        <v>16</v>
      </c>
      <c r="E126" s="8" t="s">
        <v>17</v>
      </c>
      <c r="F126" s="6"/>
      <c r="G126" s="6"/>
    </row>
    <row r="127" spans="1:7" ht="36" customHeight="1" x14ac:dyDescent="0.3">
      <c r="A127" s="9" t="s">
        <v>256</v>
      </c>
      <c r="B127" s="5" t="s">
        <v>240</v>
      </c>
      <c r="C127" s="10" t="s">
        <v>257</v>
      </c>
      <c r="D127" s="7" t="s">
        <v>16</v>
      </c>
      <c r="E127" s="11" t="s">
        <v>17</v>
      </c>
      <c r="F127" s="10"/>
      <c r="G127" s="10"/>
    </row>
    <row r="128" spans="1:7" ht="36" customHeight="1" x14ac:dyDescent="0.3">
      <c r="A128" s="4" t="s">
        <v>258</v>
      </c>
      <c r="B128" s="5" t="s">
        <v>240</v>
      </c>
      <c r="C128" s="6" t="s">
        <v>259</v>
      </c>
      <c r="D128" s="7" t="s">
        <v>16</v>
      </c>
      <c r="E128" s="8" t="s">
        <v>17</v>
      </c>
      <c r="F128" s="6"/>
      <c r="G128" s="6"/>
    </row>
    <row r="129" spans="1:7" ht="36" customHeight="1" x14ac:dyDescent="0.3">
      <c r="A129" s="9" t="s">
        <v>260</v>
      </c>
      <c r="B129" s="5" t="s">
        <v>240</v>
      </c>
      <c r="C129" s="10" t="s">
        <v>261</v>
      </c>
      <c r="D129" s="7" t="s">
        <v>16</v>
      </c>
      <c r="E129" s="11" t="s">
        <v>17</v>
      </c>
      <c r="F129" s="10"/>
      <c r="G129" s="10"/>
    </row>
    <row r="130" spans="1:7" ht="36" customHeight="1" x14ac:dyDescent="0.3">
      <c r="A130" s="4" t="s">
        <v>262</v>
      </c>
      <c r="B130" s="5" t="s">
        <v>240</v>
      </c>
      <c r="C130" s="6" t="s">
        <v>263</v>
      </c>
      <c r="D130" s="7" t="s">
        <v>16</v>
      </c>
      <c r="E130" s="8" t="s">
        <v>17</v>
      </c>
      <c r="F130" s="6"/>
      <c r="G130" s="6"/>
    </row>
    <row r="131" spans="1:7" ht="36" customHeight="1" x14ac:dyDescent="0.3">
      <c r="A131" s="9" t="s">
        <v>264</v>
      </c>
      <c r="B131" s="5" t="s">
        <v>240</v>
      </c>
      <c r="C131" s="10" t="s">
        <v>265</v>
      </c>
      <c r="D131" s="7" t="s">
        <v>16</v>
      </c>
      <c r="E131" s="11" t="s">
        <v>17</v>
      </c>
      <c r="F131" s="10"/>
      <c r="G131" s="10"/>
    </row>
    <row r="132" spans="1:7" ht="36" customHeight="1" x14ac:dyDescent="0.3">
      <c r="A132" s="4" t="s">
        <v>266</v>
      </c>
      <c r="B132" s="5" t="s">
        <v>240</v>
      </c>
      <c r="C132" s="6" t="s">
        <v>267</v>
      </c>
      <c r="D132" s="7" t="s">
        <v>16</v>
      </c>
      <c r="E132" s="8" t="s">
        <v>17</v>
      </c>
      <c r="F132" s="6"/>
      <c r="G132" s="6"/>
    </row>
    <row r="133" spans="1:7" ht="36" customHeight="1" x14ac:dyDescent="0.3">
      <c r="A133" s="9" t="s">
        <v>268</v>
      </c>
      <c r="B133" s="5" t="s">
        <v>240</v>
      </c>
      <c r="C133" s="10" t="s">
        <v>269</v>
      </c>
      <c r="D133" s="7" t="s">
        <v>16</v>
      </c>
      <c r="E133" s="11" t="s">
        <v>17</v>
      </c>
      <c r="F133" s="10"/>
      <c r="G133" s="10"/>
    </row>
    <row r="134" spans="1:7" ht="36" customHeight="1" x14ac:dyDescent="0.3">
      <c r="A134" s="4" t="s">
        <v>270</v>
      </c>
      <c r="B134" s="5" t="s">
        <v>240</v>
      </c>
      <c r="C134" s="6" t="s">
        <v>271</v>
      </c>
      <c r="D134" s="7" t="s">
        <v>16</v>
      </c>
      <c r="E134" s="8" t="s">
        <v>17</v>
      </c>
      <c r="F134" s="6"/>
      <c r="G134" s="6"/>
    </row>
    <row r="135" spans="1:7" ht="36" customHeight="1" x14ac:dyDescent="0.3">
      <c r="A135" s="9" t="s">
        <v>272</v>
      </c>
      <c r="B135" s="5" t="s">
        <v>240</v>
      </c>
      <c r="C135" s="10" t="s">
        <v>273</v>
      </c>
      <c r="D135" s="7" t="s">
        <v>16</v>
      </c>
      <c r="E135" s="11" t="s">
        <v>17</v>
      </c>
      <c r="F135" s="10"/>
      <c r="G135" s="10"/>
    </row>
    <row r="136" spans="1:7" ht="36" customHeight="1" x14ac:dyDescent="0.3">
      <c r="A136" s="4" t="s">
        <v>274</v>
      </c>
      <c r="B136" s="5" t="s">
        <v>240</v>
      </c>
      <c r="C136" s="6" t="s">
        <v>275</v>
      </c>
      <c r="D136" s="7" t="s">
        <v>16</v>
      </c>
      <c r="E136" s="8" t="s">
        <v>17</v>
      </c>
      <c r="F136" s="6"/>
      <c r="G136" s="6"/>
    </row>
    <row r="137" spans="1:7" ht="36" customHeight="1" x14ac:dyDescent="0.3">
      <c r="A137" s="9" t="s">
        <v>276</v>
      </c>
      <c r="B137" s="5" t="s">
        <v>240</v>
      </c>
      <c r="C137" s="10" t="s">
        <v>277</v>
      </c>
      <c r="D137" s="7" t="s">
        <v>16</v>
      </c>
      <c r="E137" s="11" t="s">
        <v>17</v>
      </c>
      <c r="F137" s="10"/>
      <c r="G137" s="10"/>
    </row>
    <row r="138" spans="1:7" ht="36" customHeight="1" x14ac:dyDescent="0.3">
      <c r="A138" s="4" t="s">
        <v>278</v>
      </c>
      <c r="B138" s="5" t="s">
        <v>240</v>
      </c>
      <c r="C138" s="6" t="s">
        <v>279</v>
      </c>
      <c r="D138" s="7" t="s">
        <v>16</v>
      </c>
      <c r="E138" s="8" t="s">
        <v>17</v>
      </c>
      <c r="F138" s="6"/>
      <c r="G138" s="6"/>
    </row>
    <row r="139" spans="1:7" ht="36" customHeight="1" x14ac:dyDescent="0.3">
      <c r="A139" s="9" t="s">
        <v>280</v>
      </c>
      <c r="B139" s="5" t="s">
        <v>240</v>
      </c>
      <c r="C139" s="10" t="s">
        <v>281</v>
      </c>
      <c r="D139" s="7" t="s">
        <v>16</v>
      </c>
      <c r="E139" s="11" t="s">
        <v>17</v>
      </c>
      <c r="F139" s="10"/>
      <c r="G139" s="10"/>
    </row>
    <row r="140" spans="1:7" ht="36" customHeight="1" x14ac:dyDescent="0.3">
      <c r="A140" s="4" t="s">
        <v>282</v>
      </c>
      <c r="B140" s="5" t="s">
        <v>240</v>
      </c>
      <c r="C140" s="6" t="s">
        <v>283</v>
      </c>
      <c r="D140" s="7" t="s">
        <v>16</v>
      </c>
      <c r="E140" s="8" t="s">
        <v>17</v>
      </c>
      <c r="F140" s="6"/>
      <c r="G140" s="6"/>
    </row>
    <row r="141" spans="1:7" ht="36" customHeight="1" x14ac:dyDescent="0.3">
      <c r="A141" s="9" t="s">
        <v>284</v>
      </c>
      <c r="B141" s="5" t="s">
        <v>240</v>
      </c>
      <c r="C141" s="10" t="s">
        <v>285</v>
      </c>
      <c r="D141" s="7" t="s">
        <v>16</v>
      </c>
      <c r="E141" s="11" t="s">
        <v>17</v>
      </c>
      <c r="F141" s="10"/>
      <c r="G141" s="10"/>
    </row>
    <row r="142" spans="1:7" ht="36" customHeight="1" x14ac:dyDescent="0.3">
      <c r="A142" s="4" t="s">
        <v>286</v>
      </c>
      <c r="B142" s="5" t="s">
        <v>240</v>
      </c>
      <c r="C142" s="6" t="s">
        <v>287</v>
      </c>
      <c r="D142" s="7" t="s">
        <v>16</v>
      </c>
      <c r="E142" s="8" t="s">
        <v>17</v>
      </c>
      <c r="F142" s="6"/>
      <c r="G142" s="6"/>
    </row>
    <row r="143" spans="1:7" ht="36" customHeight="1" x14ac:dyDescent="0.3">
      <c r="A143" s="9" t="s">
        <v>288</v>
      </c>
      <c r="B143" s="5" t="s">
        <v>289</v>
      </c>
      <c r="C143" s="10" t="s">
        <v>290</v>
      </c>
      <c r="D143" s="7" t="s">
        <v>16</v>
      </c>
      <c r="E143" s="11" t="s">
        <v>17</v>
      </c>
      <c r="F143" s="10"/>
      <c r="G143" s="10"/>
    </row>
    <row r="144" spans="1:7" ht="36" customHeight="1" x14ac:dyDescent="0.3">
      <c r="A144" s="4" t="s">
        <v>291</v>
      </c>
      <c r="B144" s="5" t="s">
        <v>289</v>
      </c>
      <c r="C144" s="6" t="s">
        <v>292</v>
      </c>
      <c r="D144" s="7" t="s">
        <v>16</v>
      </c>
      <c r="E144" s="8" t="s">
        <v>17</v>
      </c>
      <c r="F144" s="6"/>
      <c r="G144" s="6"/>
    </row>
    <row r="145" spans="1:7" ht="36" customHeight="1" x14ac:dyDescent="0.3">
      <c r="A145" s="9" t="s">
        <v>293</v>
      </c>
      <c r="B145" s="5" t="s">
        <v>289</v>
      </c>
      <c r="C145" s="10" t="s">
        <v>294</v>
      </c>
      <c r="D145" s="7" t="s">
        <v>16</v>
      </c>
      <c r="E145" s="11" t="s">
        <v>17</v>
      </c>
      <c r="F145" s="10"/>
      <c r="G145" s="10"/>
    </row>
    <row r="146" spans="1:7" ht="36" customHeight="1" x14ac:dyDescent="0.3">
      <c r="A146" s="4" t="s">
        <v>295</v>
      </c>
      <c r="B146" s="5" t="s">
        <v>289</v>
      </c>
      <c r="C146" s="6" t="s">
        <v>296</v>
      </c>
      <c r="D146" s="7" t="s">
        <v>16</v>
      </c>
      <c r="E146" s="8" t="s">
        <v>17</v>
      </c>
      <c r="F146" s="6"/>
      <c r="G146" s="6"/>
    </row>
    <row r="147" spans="1:7" ht="36" customHeight="1" x14ac:dyDescent="0.3">
      <c r="A147" s="9" t="s">
        <v>297</v>
      </c>
      <c r="B147" s="5" t="s">
        <v>289</v>
      </c>
      <c r="C147" s="10" t="s">
        <v>298</v>
      </c>
      <c r="D147" s="7" t="s">
        <v>16</v>
      </c>
      <c r="E147" s="11" t="s">
        <v>17</v>
      </c>
      <c r="F147" s="10"/>
      <c r="G147" s="10"/>
    </row>
    <row r="148" spans="1:7" ht="36" customHeight="1" x14ac:dyDescent="0.3">
      <c r="A148" s="4" t="s">
        <v>299</v>
      </c>
      <c r="B148" s="5" t="s">
        <v>289</v>
      </c>
      <c r="C148" s="6" t="s">
        <v>300</v>
      </c>
      <c r="D148" s="7" t="s">
        <v>16</v>
      </c>
      <c r="E148" s="8" t="s">
        <v>17</v>
      </c>
      <c r="F148" s="6"/>
      <c r="G148" s="6"/>
    </row>
    <row r="149" spans="1:7" ht="36" customHeight="1" x14ac:dyDescent="0.3">
      <c r="A149" s="9" t="s">
        <v>301</v>
      </c>
      <c r="B149" s="5" t="s">
        <v>289</v>
      </c>
      <c r="C149" s="10" t="s">
        <v>302</v>
      </c>
      <c r="D149" s="7" t="s">
        <v>16</v>
      </c>
      <c r="E149" s="11" t="s">
        <v>17</v>
      </c>
      <c r="F149" s="10"/>
      <c r="G149" s="10"/>
    </row>
    <row r="150" spans="1:7" ht="36" customHeight="1" x14ac:dyDescent="0.3">
      <c r="A150" s="4" t="s">
        <v>303</v>
      </c>
      <c r="B150" s="5" t="s">
        <v>289</v>
      </c>
      <c r="C150" s="6" t="s">
        <v>304</v>
      </c>
      <c r="D150" s="7" t="s">
        <v>16</v>
      </c>
      <c r="E150" s="8" t="s">
        <v>17</v>
      </c>
      <c r="F150" s="6"/>
      <c r="G150" s="6"/>
    </row>
    <row r="151" spans="1:7" ht="36" customHeight="1" x14ac:dyDescent="0.3">
      <c r="A151" s="9" t="s">
        <v>305</v>
      </c>
      <c r="B151" s="5" t="s">
        <v>289</v>
      </c>
      <c r="C151" s="10" t="s">
        <v>306</v>
      </c>
      <c r="D151" s="7" t="s">
        <v>16</v>
      </c>
      <c r="E151" s="11" t="s">
        <v>17</v>
      </c>
      <c r="F151" s="10"/>
      <c r="G151" s="10"/>
    </row>
    <row r="152" spans="1:7" ht="36" customHeight="1" x14ac:dyDescent="0.3">
      <c r="A152" s="4" t="s">
        <v>307</v>
      </c>
      <c r="B152" s="5" t="s">
        <v>289</v>
      </c>
      <c r="C152" s="6" t="s">
        <v>308</v>
      </c>
      <c r="D152" s="7" t="s">
        <v>16</v>
      </c>
      <c r="E152" s="8" t="s">
        <v>17</v>
      </c>
      <c r="F152" s="6"/>
      <c r="G152" s="6"/>
    </row>
    <row r="153" spans="1:7" ht="36" customHeight="1" x14ac:dyDescent="0.3">
      <c r="A153" s="9" t="s">
        <v>309</v>
      </c>
      <c r="B153" s="5" t="s">
        <v>289</v>
      </c>
      <c r="C153" s="10" t="s">
        <v>310</v>
      </c>
      <c r="D153" s="7" t="s">
        <v>16</v>
      </c>
      <c r="E153" s="11" t="s">
        <v>17</v>
      </c>
      <c r="F153" s="10"/>
      <c r="G153" s="10"/>
    </row>
    <row r="154" spans="1:7" ht="36" customHeight="1" x14ac:dyDescent="0.3">
      <c r="A154" s="4" t="s">
        <v>311</v>
      </c>
      <c r="B154" s="5" t="s">
        <v>289</v>
      </c>
      <c r="C154" s="6" t="s">
        <v>312</v>
      </c>
      <c r="D154" s="7" t="s">
        <v>16</v>
      </c>
      <c r="E154" s="8" t="s">
        <v>17</v>
      </c>
      <c r="F154" s="6"/>
      <c r="G154" s="6"/>
    </row>
    <row r="155" spans="1:7" ht="36" customHeight="1" x14ac:dyDescent="0.3">
      <c r="A155" s="9" t="s">
        <v>313</v>
      </c>
      <c r="B155" s="5" t="s">
        <v>314</v>
      </c>
      <c r="C155" s="10" t="s">
        <v>315</v>
      </c>
      <c r="D155" s="7" t="s">
        <v>16</v>
      </c>
      <c r="E155" s="11" t="s">
        <v>17</v>
      </c>
      <c r="F155" s="10"/>
      <c r="G155" s="10"/>
    </row>
    <row r="156" spans="1:7" ht="36" customHeight="1" x14ac:dyDescent="0.3">
      <c r="A156" s="4" t="s">
        <v>316</v>
      </c>
      <c r="B156" s="5" t="s">
        <v>314</v>
      </c>
      <c r="C156" s="6" t="s">
        <v>317</v>
      </c>
      <c r="D156" s="7" t="s">
        <v>16</v>
      </c>
      <c r="E156" s="8" t="s">
        <v>17</v>
      </c>
      <c r="F156" s="6"/>
      <c r="G156" s="6"/>
    </row>
    <row r="157" spans="1:7" ht="36" customHeight="1" x14ac:dyDescent="0.3">
      <c r="A157" s="9" t="s">
        <v>318</v>
      </c>
      <c r="B157" s="5" t="s">
        <v>314</v>
      </c>
      <c r="C157" s="10" t="s">
        <v>319</v>
      </c>
      <c r="D157" s="7" t="s">
        <v>16</v>
      </c>
      <c r="E157" s="11" t="s">
        <v>17</v>
      </c>
      <c r="F157" s="10"/>
      <c r="G157" s="10"/>
    </row>
    <row r="158" spans="1:7" ht="36" customHeight="1" x14ac:dyDescent="0.3">
      <c r="A158" s="4" t="s">
        <v>320</v>
      </c>
      <c r="B158" s="5" t="s">
        <v>314</v>
      </c>
      <c r="C158" s="6" t="s">
        <v>321</v>
      </c>
      <c r="D158" s="7" t="s">
        <v>16</v>
      </c>
      <c r="E158" s="8" t="s">
        <v>17</v>
      </c>
      <c r="F158" s="6"/>
      <c r="G158" s="6"/>
    </row>
    <row r="159" spans="1:7" ht="36" customHeight="1" x14ac:dyDescent="0.3">
      <c r="A159" s="9" t="s">
        <v>322</v>
      </c>
      <c r="B159" s="5" t="s">
        <v>314</v>
      </c>
      <c r="C159" s="10" t="s">
        <v>323</v>
      </c>
      <c r="D159" s="7" t="s">
        <v>16</v>
      </c>
      <c r="E159" s="11" t="s">
        <v>17</v>
      </c>
      <c r="F159" s="10"/>
      <c r="G159" s="10"/>
    </row>
    <row r="160" spans="1:7" ht="36" customHeight="1" x14ac:dyDescent="0.3">
      <c r="A160" s="4" t="s">
        <v>324</v>
      </c>
      <c r="B160" s="5" t="s">
        <v>314</v>
      </c>
      <c r="C160" s="6" t="s">
        <v>325</v>
      </c>
      <c r="D160" s="7" t="s">
        <v>16</v>
      </c>
      <c r="E160" s="8" t="s">
        <v>17</v>
      </c>
      <c r="F160" s="6"/>
      <c r="G160" s="6"/>
    </row>
    <row r="161" spans="1:7" ht="36" customHeight="1" x14ac:dyDescent="0.3">
      <c r="A161" s="9" t="s">
        <v>326</v>
      </c>
      <c r="B161" s="5" t="s">
        <v>314</v>
      </c>
      <c r="C161" s="10" t="s">
        <v>327</v>
      </c>
      <c r="D161" s="7" t="s">
        <v>16</v>
      </c>
      <c r="E161" s="11" t="s">
        <v>17</v>
      </c>
      <c r="F161" s="10"/>
      <c r="G161" s="10"/>
    </row>
    <row r="162" spans="1:7" ht="36" customHeight="1" x14ac:dyDescent="0.3">
      <c r="A162" s="4" t="s">
        <v>328</v>
      </c>
      <c r="B162" s="5" t="s">
        <v>314</v>
      </c>
      <c r="C162" s="6" t="s">
        <v>329</v>
      </c>
      <c r="D162" s="7" t="s">
        <v>16</v>
      </c>
      <c r="E162" s="8" t="s">
        <v>17</v>
      </c>
      <c r="F162" s="6"/>
      <c r="G162" s="6"/>
    </row>
    <row r="163" spans="1:7" ht="36" customHeight="1" x14ac:dyDescent="0.3">
      <c r="A163" s="9" t="s">
        <v>330</v>
      </c>
      <c r="B163" s="5" t="s">
        <v>331</v>
      </c>
      <c r="C163" s="10" t="s">
        <v>332</v>
      </c>
      <c r="D163" s="7" t="s">
        <v>16</v>
      </c>
      <c r="E163" s="11" t="s">
        <v>17</v>
      </c>
      <c r="F163" s="10"/>
      <c r="G163" s="10"/>
    </row>
    <row r="164" spans="1:7" ht="36" customHeight="1" x14ac:dyDescent="0.3">
      <c r="A164" s="4" t="s">
        <v>333</v>
      </c>
      <c r="B164" s="5" t="s">
        <v>331</v>
      </c>
      <c r="C164" s="6" t="s">
        <v>334</v>
      </c>
      <c r="D164" s="7" t="s">
        <v>16</v>
      </c>
      <c r="E164" s="8" t="s">
        <v>17</v>
      </c>
      <c r="F164" s="6"/>
      <c r="G164" s="6"/>
    </row>
    <row r="165" spans="1:7" ht="36" customHeight="1" x14ac:dyDescent="0.3">
      <c r="A165" s="9" t="s">
        <v>335</v>
      </c>
      <c r="B165" s="5" t="s">
        <v>331</v>
      </c>
      <c r="C165" s="10" t="s">
        <v>336</v>
      </c>
      <c r="D165" s="7" t="s">
        <v>16</v>
      </c>
      <c r="E165" s="11" t="s">
        <v>17</v>
      </c>
      <c r="F165" s="10"/>
      <c r="G165" s="10"/>
    </row>
    <row r="166" spans="1:7" ht="36" customHeight="1" x14ac:dyDescent="0.3">
      <c r="A166" s="4" t="s">
        <v>337</v>
      </c>
      <c r="B166" s="5" t="s">
        <v>331</v>
      </c>
      <c r="C166" s="6" t="s">
        <v>338</v>
      </c>
      <c r="D166" s="7" t="s">
        <v>16</v>
      </c>
      <c r="E166" s="8" t="s">
        <v>17</v>
      </c>
      <c r="F166" s="6"/>
      <c r="G166" s="6"/>
    </row>
    <row r="167" spans="1:7" ht="36" customHeight="1" x14ac:dyDescent="0.3">
      <c r="A167" s="9" t="s">
        <v>339</v>
      </c>
      <c r="B167" s="5" t="s">
        <v>331</v>
      </c>
      <c r="C167" s="10" t="s">
        <v>340</v>
      </c>
      <c r="D167" s="7" t="s">
        <v>16</v>
      </c>
      <c r="E167" s="11" t="s">
        <v>17</v>
      </c>
      <c r="F167" s="10"/>
      <c r="G167" s="10"/>
    </row>
    <row r="168" spans="1:7" ht="36" customHeight="1" x14ac:dyDescent="0.3">
      <c r="A168" s="4" t="s">
        <v>341</v>
      </c>
      <c r="B168" s="5" t="s">
        <v>331</v>
      </c>
      <c r="C168" s="6" t="s">
        <v>342</v>
      </c>
      <c r="D168" s="7" t="s">
        <v>16</v>
      </c>
      <c r="E168" s="8" t="s">
        <v>17</v>
      </c>
      <c r="F168" s="6"/>
      <c r="G168" s="6"/>
    </row>
    <row r="169" spans="1:7" ht="36" customHeight="1" x14ac:dyDescent="0.3">
      <c r="A169" s="9" t="s">
        <v>343</v>
      </c>
      <c r="B169" s="5" t="s">
        <v>331</v>
      </c>
      <c r="C169" s="10" t="s">
        <v>344</v>
      </c>
      <c r="D169" s="7" t="s">
        <v>16</v>
      </c>
      <c r="E169" s="11" t="s">
        <v>17</v>
      </c>
      <c r="F169" s="10"/>
      <c r="G169" s="10"/>
    </row>
    <row r="170" spans="1:7" ht="36" customHeight="1" x14ac:dyDescent="0.3">
      <c r="A170" s="4" t="s">
        <v>345</v>
      </c>
      <c r="B170" s="5" t="s">
        <v>331</v>
      </c>
      <c r="C170" s="6" t="s">
        <v>346</v>
      </c>
      <c r="D170" s="7" t="s">
        <v>16</v>
      </c>
      <c r="E170" s="8" t="s">
        <v>17</v>
      </c>
      <c r="F170" s="6"/>
      <c r="G170" s="6"/>
    </row>
    <row r="171" spans="1:7" ht="36" customHeight="1" x14ac:dyDescent="0.3">
      <c r="A171" s="9" t="s">
        <v>347</v>
      </c>
      <c r="B171" s="5" t="s">
        <v>331</v>
      </c>
      <c r="C171" s="10" t="s">
        <v>348</v>
      </c>
      <c r="D171" s="7" t="s">
        <v>16</v>
      </c>
      <c r="E171" s="11" t="s">
        <v>17</v>
      </c>
      <c r="F171" s="10"/>
      <c r="G171" s="10"/>
    </row>
    <row r="172" spans="1:7" ht="36" customHeight="1" x14ac:dyDescent="0.3">
      <c r="A172" s="4" t="s">
        <v>349</v>
      </c>
      <c r="B172" s="5" t="s">
        <v>331</v>
      </c>
      <c r="C172" s="6" t="s">
        <v>350</v>
      </c>
      <c r="D172" s="7" t="s">
        <v>16</v>
      </c>
      <c r="E172" s="8" t="s">
        <v>17</v>
      </c>
      <c r="F172" s="6"/>
      <c r="G172" s="6"/>
    </row>
    <row r="173" spans="1:7" ht="36" customHeight="1" x14ac:dyDescent="0.3">
      <c r="A173" s="9" t="s">
        <v>351</v>
      </c>
      <c r="B173" s="5" t="s">
        <v>331</v>
      </c>
      <c r="C173" s="10" t="s">
        <v>352</v>
      </c>
      <c r="D173" s="7" t="s">
        <v>16</v>
      </c>
      <c r="E173" s="11" t="s">
        <v>17</v>
      </c>
      <c r="F173" s="10"/>
      <c r="G173" s="10"/>
    </row>
    <row r="174" spans="1:7" ht="36" customHeight="1" x14ac:dyDescent="0.3">
      <c r="A174" s="4" t="s">
        <v>353</v>
      </c>
      <c r="B174" s="5" t="s">
        <v>331</v>
      </c>
      <c r="C174" s="6" t="s">
        <v>354</v>
      </c>
      <c r="D174" s="7" t="s">
        <v>16</v>
      </c>
      <c r="E174" s="8" t="s">
        <v>17</v>
      </c>
      <c r="F174" s="6"/>
      <c r="G174" s="6"/>
    </row>
    <row r="175" spans="1:7" ht="36" customHeight="1" x14ac:dyDescent="0.3">
      <c r="A175" s="9" t="s">
        <v>355</v>
      </c>
      <c r="B175" s="5" t="s">
        <v>331</v>
      </c>
      <c r="C175" s="10" t="s">
        <v>356</v>
      </c>
      <c r="D175" s="7" t="s">
        <v>16</v>
      </c>
      <c r="E175" s="11" t="s">
        <v>17</v>
      </c>
      <c r="F175" s="10"/>
      <c r="G175" s="10"/>
    </row>
    <row r="176" spans="1:7" ht="36" customHeight="1" x14ac:dyDescent="0.3">
      <c r="A176" s="4" t="s">
        <v>357</v>
      </c>
      <c r="B176" s="5" t="s">
        <v>331</v>
      </c>
      <c r="C176" s="6" t="s">
        <v>358</v>
      </c>
      <c r="D176" s="7" t="s">
        <v>16</v>
      </c>
      <c r="E176" s="8" t="s">
        <v>17</v>
      </c>
      <c r="F176" s="6"/>
      <c r="G176" s="6"/>
    </row>
    <row r="177" spans="1:7" ht="36" customHeight="1" x14ac:dyDescent="0.3">
      <c r="A177" s="9" t="s">
        <v>359</v>
      </c>
      <c r="B177" s="5" t="s">
        <v>331</v>
      </c>
      <c r="C177" s="10" t="s">
        <v>360</v>
      </c>
      <c r="D177" s="7" t="s">
        <v>16</v>
      </c>
      <c r="E177" s="11" t="s">
        <v>17</v>
      </c>
      <c r="F177" s="10"/>
      <c r="G177" s="10"/>
    </row>
    <row r="178" spans="1:7" ht="36" customHeight="1" x14ac:dyDescent="0.3">
      <c r="A178" s="4" t="s">
        <v>361</v>
      </c>
      <c r="B178" s="5" t="s">
        <v>331</v>
      </c>
      <c r="C178" s="6" t="s">
        <v>362</v>
      </c>
      <c r="D178" s="7" t="s">
        <v>16</v>
      </c>
      <c r="E178" s="8" t="s">
        <v>17</v>
      </c>
      <c r="F178" s="6"/>
      <c r="G178" s="6"/>
    </row>
    <row r="179" spans="1:7" ht="36" customHeight="1" x14ac:dyDescent="0.3">
      <c r="A179" s="9" t="s">
        <v>363</v>
      </c>
      <c r="B179" s="5" t="s">
        <v>364</v>
      </c>
      <c r="C179" s="10" t="s">
        <v>365</v>
      </c>
      <c r="D179" s="7" t="s">
        <v>16</v>
      </c>
      <c r="E179" s="11" t="s">
        <v>17</v>
      </c>
      <c r="F179" s="10"/>
      <c r="G179" s="10"/>
    </row>
    <row r="180" spans="1:7" ht="36" customHeight="1" x14ac:dyDescent="0.3">
      <c r="A180" s="4" t="s">
        <v>366</v>
      </c>
      <c r="B180" s="5" t="s">
        <v>364</v>
      </c>
      <c r="C180" s="6" t="s">
        <v>367</v>
      </c>
      <c r="D180" s="7" t="s">
        <v>16</v>
      </c>
      <c r="E180" s="8" t="s">
        <v>17</v>
      </c>
      <c r="F180" s="6"/>
      <c r="G180" s="6"/>
    </row>
    <row r="181" spans="1:7" ht="36" customHeight="1" x14ac:dyDescent="0.3">
      <c r="A181" s="9" t="s">
        <v>368</v>
      </c>
      <c r="B181" s="5" t="s">
        <v>364</v>
      </c>
      <c r="C181" s="10" t="s">
        <v>369</v>
      </c>
      <c r="D181" s="7" t="s">
        <v>16</v>
      </c>
      <c r="E181" s="11" t="s">
        <v>17</v>
      </c>
      <c r="F181" s="10"/>
      <c r="G181" s="10"/>
    </row>
    <row r="182" spans="1:7" ht="36" customHeight="1" x14ac:dyDescent="0.3">
      <c r="A182" s="4" t="s">
        <v>370</v>
      </c>
      <c r="B182" s="5" t="s">
        <v>364</v>
      </c>
      <c r="C182" s="6" t="s">
        <v>371</v>
      </c>
      <c r="D182" s="7" t="s">
        <v>16</v>
      </c>
      <c r="E182" s="8" t="s">
        <v>17</v>
      </c>
      <c r="F182" s="6"/>
      <c r="G182" s="6"/>
    </row>
    <row r="183" spans="1:7" ht="36" customHeight="1" x14ac:dyDescent="0.3">
      <c r="A183" s="9" t="s">
        <v>372</v>
      </c>
      <c r="B183" s="5" t="s">
        <v>364</v>
      </c>
      <c r="C183" s="10" t="s">
        <v>373</v>
      </c>
      <c r="D183" s="7" t="s">
        <v>16</v>
      </c>
      <c r="E183" s="11" t="s">
        <v>17</v>
      </c>
      <c r="F183" s="10"/>
      <c r="G183" s="10"/>
    </row>
    <row r="184" spans="1:7" ht="36" customHeight="1" x14ac:dyDescent="0.3">
      <c r="A184" s="4" t="s">
        <v>374</v>
      </c>
      <c r="B184" s="5" t="s">
        <v>364</v>
      </c>
      <c r="C184" s="6" t="s">
        <v>375</v>
      </c>
      <c r="D184" s="7" t="s">
        <v>16</v>
      </c>
      <c r="E184" s="8" t="s">
        <v>17</v>
      </c>
      <c r="F184" s="6"/>
      <c r="G184" s="6"/>
    </row>
    <row r="185" spans="1:7" ht="36" customHeight="1" x14ac:dyDescent="0.3">
      <c r="A185" s="9" t="s">
        <v>376</v>
      </c>
      <c r="B185" s="5" t="s">
        <v>364</v>
      </c>
      <c r="C185" s="10" t="s">
        <v>377</v>
      </c>
      <c r="D185" s="7" t="s">
        <v>16</v>
      </c>
      <c r="E185" s="11" t="s">
        <v>17</v>
      </c>
      <c r="F185" s="10"/>
      <c r="G185" s="10"/>
    </row>
    <row r="186" spans="1:7" ht="36" customHeight="1" x14ac:dyDescent="0.3">
      <c r="A186" s="4" t="s">
        <v>378</v>
      </c>
      <c r="B186" s="5" t="s">
        <v>364</v>
      </c>
      <c r="C186" s="6" t="s">
        <v>379</v>
      </c>
      <c r="D186" s="7" t="s">
        <v>16</v>
      </c>
      <c r="E186" s="8" t="s">
        <v>17</v>
      </c>
      <c r="F186" s="6"/>
      <c r="G186" s="6"/>
    </row>
    <row r="187" spans="1:7" ht="36" customHeight="1" x14ac:dyDescent="0.3">
      <c r="A187" s="9" t="s">
        <v>380</v>
      </c>
      <c r="B187" s="5" t="s">
        <v>364</v>
      </c>
      <c r="C187" s="10" t="s">
        <v>381</v>
      </c>
      <c r="D187" s="7" t="s">
        <v>16</v>
      </c>
      <c r="E187" s="11" t="s">
        <v>17</v>
      </c>
      <c r="F187" s="10"/>
      <c r="G187" s="10"/>
    </row>
    <row r="188" spans="1:7" ht="36" customHeight="1" x14ac:dyDescent="0.3">
      <c r="A188" s="4" t="s">
        <v>382</v>
      </c>
      <c r="B188" s="5" t="s">
        <v>364</v>
      </c>
      <c r="C188" s="6" t="s">
        <v>383</v>
      </c>
      <c r="D188" s="7" t="s">
        <v>16</v>
      </c>
      <c r="E188" s="8" t="s">
        <v>17</v>
      </c>
      <c r="F188" s="6"/>
      <c r="G188" s="6"/>
    </row>
    <row r="189" spans="1:7" ht="36" customHeight="1" x14ac:dyDescent="0.3">
      <c r="A189" s="9" t="s">
        <v>384</v>
      </c>
      <c r="B189" s="5" t="s">
        <v>364</v>
      </c>
      <c r="C189" s="10" t="s">
        <v>385</v>
      </c>
      <c r="D189" s="7" t="s">
        <v>16</v>
      </c>
      <c r="E189" s="11" t="s">
        <v>17</v>
      </c>
      <c r="F189" s="10"/>
      <c r="G189" s="10"/>
    </row>
    <row r="190" spans="1:7" ht="36" customHeight="1" x14ac:dyDescent="0.3">
      <c r="A190" s="4" t="s">
        <v>386</v>
      </c>
      <c r="B190" s="5" t="s">
        <v>364</v>
      </c>
      <c r="C190" s="6" t="s">
        <v>387</v>
      </c>
      <c r="D190" s="7" t="s">
        <v>16</v>
      </c>
      <c r="E190" s="8" t="s">
        <v>17</v>
      </c>
      <c r="F190" s="6"/>
      <c r="G190" s="6"/>
    </row>
    <row r="191" spans="1:7" ht="36" customHeight="1" x14ac:dyDescent="0.3">
      <c r="A191" s="9" t="s">
        <v>388</v>
      </c>
      <c r="B191" s="5" t="s">
        <v>364</v>
      </c>
      <c r="C191" s="10" t="s">
        <v>389</v>
      </c>
      <c r="D191" s="7" t="s">
        <v>16</v>
      </c>
      <c r="E191" s="11" t="s">
        <v>17</v>
      </c>
      <c r="F191" s="10"/>
      <c r="G191" s="10"/>
    </row>
    <row r="192" spans="1:7" ht="36" customHeight="1" x14ac:dyDescent="0.3">
      <c r="A192" s="4" t="s">
        <v>390</v>
      </c>
      <c r="B192" s="5" t="s">
        <v>391</v>
      </c>
      <c r="C192" s="6" t="s">
        <v>392</v>
      </c>
      <c r="D192" s="7" t="s">
        <v>16</v>
      </c>
      <c r="E192" s="8" t="s">
        <v>17</v>
      </c>
      <c r="F192" s="6"/>
      <c r="G192" s="6"/>
    </row>
    <row r="193" spans="1:7" ht="36" customHeight="1" x14ac:dyDescent="0.3">
      <c r="A193" s="9" t="s">
        <v>393</v>
      </c>
      <c r="B193" s="5" t="s">
        <v>391</v>
      </c>
      <c r="C193" s="10" t="s">
        <v>394</v>
      </c>
      <c r="D193" s="7" t="s">
        <v>16</v>
      </c>
      <c r="E193" s="11" t="s">
        <v>17</v>
      </c>
      <c r="F193" s="10"/>
      <c r="G193" s="10"/>
    </row>
    <row r="194" spans="1:7" ht="36" customHeight="1" x14ac:dyDescent="0.3">
      <c r="A194" s="4" t="s">
        <v>395</v>
      </c>
      <c r="B194" s="5" t="s">
        <v>391</v>
      </c>
      <c r="C194" s="6" t="s">
        <v>396</v>
      </c>
      <c r="D194" s="7" t="s">
        <v>16</v>
      </c>
      <c r="E194" s="8" t="s">
        <v>17</v>
      </c>
      <c r="F194" s="6"/>
      <c r="G194" s="6"/>
    </row>
    <row r="195" spans="1:7" ht="36" customHeight="1" x14ac:dyDescent="0.3">
      <c r="A195" s="9" t="s">
        <v>397</v>
      </c>
      <c r="B195" s="5" t="s">
        <v>391</v>
      </c>
      <c r="C195" s="10" t="s">
        <v>398</v>
      </c>
      <c r="D195" s="7" t="s">
        <v>16</v>
      </c>
      <c r="E195" s="11" t="s">
        <v>17</v>
      </c>
      <c r="F195" s="10"/>
      <c r="G195" s="10"/>
    </row>
    <row r="196" spans="1:7" ht="36" customHeight="1" x14ac:dyDescent="0.3">
      <c r="A196" s="4" t="s">
        <v>399</v>
      </c>
      <c r="B196" s="5" t="s">
        <v>391</v>
      </c>
      <c r="C196" s="6" t="s">
        <v>400</v>
      </c>
      <c r="D196" s="7" t="s">
        <v>16</v>
      </c>
      <c r="E196" s="8" t="s">
        <v>17</v>
      </c>
      <c r="F196" s="6"/>
      <c r="G196" s="6"/>
    </row>
    <row r="197" spans="1:7" ht="36" customHeight="1" x14ac:dyDescent="0.3">
      <c r="A197" s="9" t="s">
        <v>401</v>
      </c>
      <c r="B197" s="5" t="s">
        <v>391</v>
      </c>
      <c r="C197" s="10" t="s">
        <v>402</v>
      </c>
      <c r="D197" s="7" t="s">
        <v>16</v>
      </c>
      <c r="E197" s="11" t="s">
        <v>17</v>
      </c>
      <c r="F197" s="10"/>
      <c r="G197" s="10"/>
    </row>
    <row r="198" spans="1:7" ht="36" customHeight="1" x14ac:dyDescent="0.3">
      <c r="A198" s="4" t="s">
        <v>403</v>
      </c>
      <c r="B198" s="5" t="s">
        <v>391</v>
      </c>
      <c r="C198" s="6" t="s">
        <v>404</v>
      </c>
      <c r="D198" s="7" t="s">
        <v>16</v>
      </c>
      <c r="E198" s="8" t="s">
        <v>17</v>
      </c>
      <c r="F198" s="6"/>
      <c r="G198" s="6"/>
    </row>
    <row r="199" spans="1:7" ht="36" customHeight="1" x14ac:dyDescent="0.3">
      <c r="A199" s="9" t="s">
        <v>405</v>
      </c>
      <c r="B199" s="5" t="s">
        <v>391</v>
      </c>
      <c r="C199" s="10" t="s">
        <v>406</v>
      </c>
      <c r="D199" s="7" t="s">
        <v>16</v>
      </c>
      <c r="E199" s="11" t="s">
        <v>17</v>
      </c>
      <c r="F199" s="10"/>
      <c r="G199" s="10"/>
    </row>
    <row r="200" spans="1:7" ht="36" customHeight="1" x14ac:dyDescent="0.3">
      <c r="A200" s="4" t="s">
        <v>407</v>
      </c>
      <c r="B200" s="5" t="s">
        <v>391</v>
      </c>
      <c r="C200" s="6" t="s">
        <v>408</v>
      </c>
      <c r="D200" s="7" t="s">
        <v>16</v>
      </c>
      <c r="E200" s="8" t="s">
        <v>17</v>
      </c>
      <c r="F200" s="6"/>
      <c r="G200" s="6"/>
    </row>
    <row r="201" spans="1:7" ht="36" customHeight="1" x14ac:dyDescent="0.3">
      <c r="A201" s="9" t="s">
        <v>409</v>
      </c>
      <c r="B201" s="5" t="s">
        <v>391</v>
      </c>
      <c r="C201" s="10" t="s">
        <v>410</v>
      </c>
      <c r="D201" s="7" t="s">
        <v>16</v>
      </c>
      <c r="E201" s="11" t="s">
        <v>17</v>
      </c>
      <c r="F201" s="10"/>
      <c r="G201" s="10"/>
    </row>
    <row r="202" spans="1:7" ht="36" customHeight="1" x14ac:dyDescent="0.3">
      <c r="A202" s="4" t="s">
        <v>411</v>
      </c>
      <c r="B202" s="5" t="s">
        <v>391</v>
      </c>
      <c r="C202" s="6" t="s">
        <v>412</v>
      </c>
      <c r="D202" s="7" t="s">
        <v>16</v>
      </c>
      <c r="E202" s="8" t="s">
        <v>17</v>
      </c>
      <c r="F202" s="6"/>
      <c r="G202" s="6"/>
    </row>
    <row r="203" spans="1:7" ht="36" customHeight="1" x14ac:dyDescent="0.3">
      <c r="A203" s="9" t="s">
        <v>413</v>
      </c>
      <c r="B203" s="5" t="s">
        <v>391</v>
      </c>
      <c r="C203" s="10" t="s">
        <v>414</v>
      </c>
      <c r="D203" s="7" t="s">
        <v>16</v>
      </c>
      <c r="E203" s="11" t="s">
        <v>17</v>
      </c>
      <c r="F203" s="10"/>
      <c r="G203" s="10"/>
    </row>
    <row r="204" spans="1:7" ht="36" customHeight="1" x14ac:dyDescent="0.3">
      <c r="A204" s="4" t="s">
        <v>415</v>
      </c>
      <c r="B204" s="5" t="s">
        <v>391</v>
      </c>
      <c r="C204" s="6" t="s">
        <v>416</v>
      </c>
      <c r="D204" s="7" t="s">
        <v>16</v>
      </c>
      <c r="E204" s="8" t="s">
        <v>17</v>
      </c>
      <c r="F204" s="6"/>
      <c r="G204" s="6"/>
    </row>
    <row r="205" spans="1:7" ht="36" customHeight="1" x14ac:dyDescent="0.3">
      <c r="A205" s="9" t="s">
        <v>417</v>
      </c>
      <c r="B205" s="5" t="s">
        <v>391</v>
      </c>
      <c r="C205" s="10" t="s">
        <v>418</v>
      </c>
      <c r="D205" s="7" t="s">
        <v>16</v>
      </c>
      <c r="E205" s="11" t="s">
        <v>17</v>
      </c>
      <c r="F205" s="10"/>
      <c r="G205" s="10"/>
    </row>
    <row r="206" spans="1:7" ht="36" customHeight="1" x14ac:dyDescent="0.3">
      <c r="A206" s="4" t="s">
        <v>419</v>
      </c>
      <c r="B206" s="5" t="s">
        <v>420</v>
      </c>
      <c r="C206" s="6" t="s">
        <v>421</v>
      </c>
      <c r="D206" s="7" t="s">
        <v>16</v>
      </c>
      <c r="E206" s="8" t="s">
        <v>17</v>
      </c>
      <c r="F206" s="6"/>
      <c r="G206" s="6"/>
    </row>
    <row r="207" spans="1:7" ht="36" customHeight="1" x14ac:dyDescent="0.3">
      <c r="A207" s="9" t="s">
        <v>422</v>
      </c>
      <c r="B207" s="5" t="s">
        <v>420</v>
      </c>
      <c r="C207" s="10" t="s">
        <v>423</v>
      </c>
      <c r="D207" s="7" t="s">
        <v>16</v>
      </c>
      <c r="E207" s="11" t="s">
        <v>17</v>
      </c>
      <c r="F207" s="10"/>
      <c r="G207" s="10"/>
    </row>
    <row r="208" spans="1:7" ht="36" customHeight="1" x14ac:dyDescent="0.3">
      <c r="A208" s="4" t="s">
        <v>424</v>
      </c>
      <c r="B208" s="5" t="s">
        <v>420</v>
      </c>
      <c r="C208" s="6" t="s">
        <v>425</v>
      </c>
      <c r="D208" s="7" t="s">
        <v>16</v>
      </c>
      <c r="E208" s="8" t="s">
        <v>17</v>
      </c>
      <c r="F208" s="6"/>
      <c r="G208" s="6"/>
    </row>
    <row r="209" spans="1:7" ht="36" customHeight="1" x14ac:dyDescent="0.3">
      <c r="A209" s="9" t="s">
        <v>426</v>
      </c>
      <c r="B209" s="5" t="s">
        <v>420</v>
      </c>
      <c r="C209" s="10" t="s">
        <v>427</v>
      </c>
      <c r="D209" s="7" t="s">
        <v>16</v>
      </c>
      <c r="E209" s="11" t="s">
        <v>17</v>
      </c>
      <c r="F209" s="10"/>
      <c r="G209" s="10"/>
    </row>
    <row r="210" spans="1:7" ht="36" customHeight="1" x14ac:dyDescent="0.3">
      <c r="A210" s="4" t="s">
        <v>428</v>
      </c>
      <c r="B210" s="5" t="s">
        <v>420</v>
      </c>
      <c r="C210" s="6" t="s">
        <v>429</v>
      </c>
      <c r="D210" s="7" t="s">
        <v>16</v>
      </c>
      <c r="E210" s="8" t="s">
        <v>17</v>
      </c>
      <c r="F210" s="6"/>
      <c r="G210" s="6"/>
    </row>
    <row r="211" spans="1:7" ht="36" customHeight="1" x14ac:dyDescent="0.3">
      <c r="A211" s="9" t="s">
        <v>430</v>
      </c>
      <c r="B211" s="5" t="s">
        <v>420</v>
      </c>
      <c r="C211" s="10" t="s">
        <v>431</v>
      </c>
      <c r="D211" s="7" t="s">
        <v>16</v>
      </c>
      <c r="E211" s="11" t="s">
        <v>17</v>
      </c>
      <c r="F211" s="10"/>
      <c r="G211" s="10"/>
    </row>
    <row r="212" spans="1:7" ht="36" customHeight="1" x14ac:dyDescent="0.3">
      <c r="A212" s="4" t="s">
        <v>432</v>
      </c>
      <c r="B212" s="5" t="s">
        <v>420</v>
      </c>
      <c r="C212" s="6" t="s">
        <v>433</v>
      </c>
      <c r="D212" s="7" t="s">
        <v>16</v>
      </c>
      <c r="E212" s="8" t="s">
        <v>17</v>
      </c>
      <c r="F212" s="6"/>
      <c r="G212" s="6"/>
    </row>
    <row r="213" spans="1:7" ht="36" customHeight="1" x14ac:dyDescent="0.3">
      <c r="A213" s="9" t="s">
        <v>434</v>
      </c>
      <c r="B213" s="5" t="s">
        <v>420</v>
      </c>
      <c r="C213" s="10" t="s">
        <v>435</v>
      </c>
      <c r="D213" s="7" t="s">
        <v>16</v>
      </c>
      <c r="E213" s="11" t="s">
        <v>17</v>
      </c>
      <c r="F213" s="10"/>
      <c r="G213" s="10"/>
    </row>
    <row r="214" spans="1:7" ht="36" customHeight="1" x14ac:dyDescent="0.3">
      <c r="A214" s="4" t="s">
        <v>436</v>
      </c>
      <c r="B214" s="5" t="s">
        <v>420</v>
      </c>
      <c r="C214" s="6" t="s">
        <v>437</v>
      </c>
      <c r="D214" s="7" t="s">
        <v>16</v>
      </c>
      <c r="E214" s="8" t="s">
        <v>17</v>
      </c>
      <c r="F214" s="6"/>
      <c r="G214" s="6"/>
    </row>
    <row r="215" spans="1:7" ht="36" customHeight="1" x14ac:dyDescent="0.3">
      <c r="A215" s="9" t="s">
        <v>438</v>
      </c>
      <c r="B215" s="5" t="s">
        <v>420</v>
      </c>
      <c r="C215" s="10" t="s">
        <v>439</v>
      </c>
      <c r="D215" s="7" t="s">
        <v>16</v>
      </c>
      <c r="E215" s="11" t="s">
        <v>17</v>
      </c>
      <c r="F215" s="10"/>
      <c r="G215" s="10"/>
    </row>
    <row r="216" spans="1:7" ht="36" customHeight="1" x14ac:dyDescent="0.3">
      <c r="A216" s="4" t="s">
        <v>440</v>
      </c>
      <c r="B216" s="5" t="s">
        <v>441</v>
      </c>
      <c r="C216" s="6" t="s">
        <v>442</v>
      </c>
      <c r="D216" s="7" t="s">
        <v>16</v>
      </c>
      <c r="E216" s="8" t="s">
        <v>17</v>
      </c>
      <c r="F216" s="6"/>
      <c r="G216" s="6"/>
    </row>
    <row r="217" spans="1:7" ht="36" customHeight="1" x14ac:dyDescent="0.3">
      <c r="A217" s="9" t="s">
        <v>443</v>
      </c>
      <c r="B217" s="5" t="s">
        <v>441</v>
      </c>
      <c r="C217" s="10" t="s">
        <v>444</v>
      </c>
      <c r="D217" s="7" t="s">
        <v>16</v>
      </c>
      <c r="E217" s="11" t="s">
        <v>17</v>
      </c>
      <c r="F217" s="10"/>
      <c r="G217" s="10"/>
    </row>
    <row r="218" spans="1:7" ht="36" customHeight="1" x14ac:dyDescent="0.3">
      <c r="A218" s="4" t="s">
        <v>445</v>
      </c>
      <c r="B218" s="5" t="s">
        <v>441</v>
      </c>
      <c r="C218" s="6" t="s">
        <v>446</v>
      </c>
      <c r="D218" s="7" t="s">
        <v>16</v>
      </c>
      <c r="E218" s="8" t="s">
        <v>17</v>
      </c>
      <c r="F218" s="6"/>
      <c r="G218" s="6"/>
    </row>
    <row r="219" spans="1:7" ht="36" customHeight="1" x14ac:dyDescent="0.3">
      <c r="A219" s="9" t="s">
        <v>447</v>
      </c>
      <c r="B219" s="5" t="s">
        <v>441</v>
      </c>
      <c r="C219" s="10" t="s">
        <v>448</v>
      </c>
      <c r="D219" s="7" t="s">
        <v>16</v>
      </c>
      <c r="E219" s="11" t="s">
        <v>17</v>
      </c>
      <c r="F219" s="10"/>
      <c r="G219" s="10"/>
    </row>
    <row r="220" spans="1:7" ht="36" customHeight="1" x14ac:dyDescent="0.3">
      <c r="A220" s="4" t="s">
        <v>449</v>
      </c>
      <c r="B220" s="5" t="s">
        <v>441</v>
      </c>
      <c r="C220" s="6" t="s">
        <v>450</v>
      </c>
      <c r="D220" s="7" t="s">
        <v>16</v>
      </c>
      <c r="E220" s="8" t="s">
        <v>17</v>
      </c>
      <c r="F220" s="6"/>
      <c r="G220" s="6"/>
    </row>
    <row r="221" spans="1:7" ht="36" customHeight="1" x14ac:dyDescent="0.3">
      <c r="A221" s="9" t="s">
        <v>451</v>
      </c>
      <c r="B221" s="5" t="s">
        <v>441</v>
      </c>
      <c r="C221" s="10" t="s">
        <v>452</v>
      </c>
      <c r="D221" s="7" t="s">
        <v>16</v>
      </c>
      <c r="E221" s="11" t="s">
        <v>17</v>
      </c>
      <c r="F221" s="10"/>
      <c r="G221" s="10"/>
    </row>
    <row r="222" spans="1:7" ht="36" customHeight="1" x14ac:dyDescent="0.3">
      <c r="A222" s="4" t="s">
        <v>453</v>
      </c>
      <c r="B222" s="5" t="s">
        <v>441</v>
      </c>
      <c r="C222" s="6" t="s">
        <v>454</v>
      </c>
      <c r="D222" s="7" t="s">
        <v>16</v>
      </c>
      <c r="E222" s="8" t="s">
        <v>17</v>
      </c>
      <c r="F222" s="6"/>
      <c r="G222" s="6"/>
    </row>
    <row r="223" spans="1:7" ht="36" customHeight="1" x14ac:dyDescent="0.3">
      <c r="A223" s="9" t="s">
        <v>455</v>
      </c>
      <c r="B223" s="5" t="s">
        <v>441</v>
      </c>
      <c r="C223" s="10" t="s">
        <v>456</v>
      </c>
      <c r="D223" s="7" t="s">
        <v>16</v>
      </c>
      <c r="E223" s="11" t="s">
        <v>17</v>
      </c>
      <c r="F223" s="10"/>
      <c r="G223" s="10"/>
    </row>
    <row r="224" spans="1:7" ht="36" customHeight="1" x14ac:dyDescent="0.3">
      <c r="A224" s="4" t="s">
        <v>457</v>
      </c>
      <c r="B224" s="5" t="s">
        <v>441</v>
      </c>
      <c r="C224" s="6" t="s">
        <v>458</v>
      </c>
      <c r="D224" s="7" t="s">
        <v>16</v>
      </c>
      <c r="E224" s="8" t="s">
        <v>17</v>
      </c>
      <c r="F224" s="6"/>
      <c r="G224" s="6"/>
    </row>
    <row r="225" spans="1:7" ht="36" customHeight="1" x14ac:dyDescent="0.3">
      <c r="A225" s="9" t="s">
        <v>459</v>
      </c>
      <c r="B225" s="5" t="s">
        <v>441</v>
      </c>
      <c r="C225" s="10" t="s">
        <v>460</v>
      </c>
      <c r="D225" s="7" t="s">
        <v>16</v>
      </c>
      <c r="E225" s="11" t="s">
        <v>17</v>
      </c>
      <c r="F225" s="10"/>
      <c r="G225" s="10"/>
    </row>
    <row r="226" spans="1:7" ht="36" customHeight="1" x14ac:dyDescent="0.3">
      <c r="A226" s="4" t="s">
        <v>461</v>
      </c>
      <c r="B226" s="5" t="s">
        <v>441</v>
      </c>
      <c r="C226" s="6" t="s">
        <v>462</v>
      </c>
      <c r="D226" s="7" t="s">
        <v>16</v>
      </c>
      <c r="E226" s="8" t="s">
        <v>17</v>
      </c>
      <c r="F226" s="6"/>
      <c r="G226" s="6"/>
    </row>
    <row r="227" spans="1:7" ht="36" customHeight="1" x14ac:dyDescent="0.3">
      <c r="A227" s="9" t="s">
        <v>463</v>
      </c>
      <c r="B227" s="5" t="s">
        <v>441</v>
      </c>
      <c r="C227" s="10" t="s">
        <v>464</v>
      </c>
      <c r="D227" s="7" t="s">
        <v>16</v>
      </c>
      <c r="E227" s="11" t="s">
        <v>17</v>
      </c>
      <c r="F227" s="10"/>
      <c r="G227" s="10"/>
    </row>
  </sheetData>
  <autoFilter ref="A9:G227" xr:uid="{00000000-0009-0000-0000-000000000000}"/>
  <mergeCells count="10">
    <mergeCell ref="B5:D5"/>
    <mergeCell ref="A1:G1"/>
    <mergeCell ref="E7:G7"/>
    <mergeCell ref="E5:G5"/>
    <mergeCell ref="B4:D4"/>
    <mergeCell ref="A2:G2"/>
    <mergeCell ref="E4:G4"/>
    <mergeCell ref="B7:D7"/>
    <mergeCell ref="B6:D6"/>
    <mergeCell ref="E6:G6"/>
  </mergeCells>
  <conditionalFormatting sqref="E10:E227">
    <cfRule type="expression" dxfId="3" priority="1">
      <formula>E10="Pass"</formula>
    </cfRule>
    <cfRule type="expression" dxfId="2" priority="2">
      <formula>E10="Fail"</formula>
    </cfRule>
    <cfRule type="expression" dxfId="1" priority="3">
      <formula>E10="Not Applicable"</formula>
    </cfRule>
    <cfRule type="expression" dxfId="0" priority="4">
      <formula>E10="Not Reviewed"</formula>
    </cfRule>
  </conditionalFormatting>
  <dataValidations count="2">
    <dataValidation type="list" errorTitle="Invalid status" error="Choose a value from the dropdown: Not Reviewed, Pass, Fail, or Not Applicable." promptTitle="Control status" prompt="Select the result of the control review." sqref="E10:E227" xr:uid="{00000000-0002-0000-0000-000000000000}">
      <formula1>"Not Reviewed,Pass,Fail,Not Applicable"</formula1>
    </dataValidation>
    <dataValidation type="list" promptTitle="Pass mark" prompt="Choose ☑ after the control has passed verification; otherwise leave ☐." sqref="D10:D227" xr:uid="{00000000-0002-0000-0000-000001000000}">
      <formula1>"☐,☑"</formula1>
    </dataValidation>
  </dataValidation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showGridLines="0" workbookViewId="0">
      <pane ySplit="13" topLeftCell="A14" activePane="bottomLeft" state="frozen"/>
      <selection pane="bottomLeft" sqref="A1:D1"/>
    </sheetView>
  </sheetViews>
  <sheetFormatPr defaultRowHeight="14.4" x14ac:dyDescent="0.3"/>
  <cols>
    <col min="1" max="1" width="40" customWidth="1"/>
    <col min="2" max="4" width="18" customWidth="1"/>
  </cols>
  <sheetData>
    <row r="1" spans="1:4" ht="30" customHeight="1" x14ac:dyDescent="0.3">
      <c r="A1" s="20" t="s">
        <v>465</v>
      </c>
      <c r="B1" s="18"/>
      <c r="C1" s="18"/>
      <c r="D1" s="18"/>
    </row>
    <row r="3" spans="1:4" x14ac:dyDescent="0.3">
      <c r="A3" s="12" t="s">
        <v>466</v>
      </c>
      <c r="B3" s="12" t="s">
        <v>467</v>
      </c>
    </row>
    <row r="4" spans="1:4" x14ac:dyDescent="0.3">
      <c r="A4" s="13" t="s">
        <v>468</v>
      </c>
      <c r="B4" s="14">
        <f>COUNTA('Secure Coding Checklist'!A10:A227)</f>
        <v>218</v>
      </c>
    </row>
    <row r="5" spans="1:4" x14ac:dyDescent="0.3">
      <c r="A5" s="13" t="s">
        <v>469</v>
      </c>
      <c r="B5" s="14">
        <f>COUNTIF('Secure Coding Checklist'!E10:E227,"Pass")</f>
        <v>0</v>
      </c>
    </row>
    <row r="6" spans="1:4" x14ac:dyDescent="0.3">
      <c r="A6" s="13" t="s">
        <v>470</v>
      </c>
      <c r="B6" s="14">
        <f>COUNTIF('Secure Coding Checklist'!E10:E227,"Fail")</f>
        <v>0</v>
      </c>
    </row>
    <row r="7" spans="1:4" x14ac:dyDescent="0.3">
      <c r="A7" s="13" t="s">
        <v>17</v>
      </c>
      <c r="B7" s="14">
        <f>COUNTIF('Secure Coding Checklist'!E10:E227,"Not Reviewed")</f>
        <v>218</v>
      </c>
    </row>
    <row r="8" spans="1:4" x14ac:dyDescent="0.3">
      <c r="A8" s="13" t="s">
        <v>471</v>
      </c>
      <c r="B8" s="14">
        <f>COUNTIF('Secure Coding Checklist'!E10:E227,"Not Applicable")</f>
        <v>0</v>
      </c>
    </row>
    <row r="9" spans="1:4" x14ac:dyDescent="0.3">
      <c r="A9" s="13" t="s">
        <v>472</v>
      </c>
      <c r="B9" s="14">
        <f>COUNTIF('Secure Coding Checklist'!D10:D227,"☑")</f>
        <v>0</v>
      </c>
    </row>
    <row r="12" spans="1:4" ht="15.6" x14ac:dyDescent="0.3">
      <c r="A12" s="15" t="s">
        <v>473</v>
      </c>
    </row>
    <row r="13" spans="1:4" x14ac:dyDescent="0.3">
      <c r="A13" s="12" t="s">
        <v>7</v>
      </c>
      <c r="B13" s="12" t="s">
        <v>474</v>
      </c>
      <c r="C13" s="12" t="s">
        <v>469</v>
      </c>
      <c r="D13" s="12" t="s">
        <v>470</v>
      </c>
    </row>
    <row r="14" spans="1:4" x14ac:dyDescent="0.3">
      <c r="A14" s="2" t="s">
        <v>14</v>
      </c>
      <c r="B14" s="2">
        <f>COUNTIF('Secure Coding Checklist'!B10:B227,A14)</f>
        <v>17</v>
      </c>
      <c r="C14" s="2">
        <f>COUNTIFS('Secure Coding Checklist'!B10:B227,A14,'Secure Coding Checklist'!E10:E227,"Pass")</f>
        <v>0</v>
      </c>
      <c r="D14" s="2">
        <f>COUNTIFS('Secure Coding Checklist'!B10:B227,A14,'Secure Coding Checklist'!E10:E227,"Fail")</f>
        <v>0</v>
      </c>
    </row>
    <row r="15" spans="1:4" x14ac:dyDescent="0.3">
      <c r="A15" s="2" t="s">
        <v>51</v>
      </c>
      <c r="B15" s="2">
        <f>COUNTIF('Secure Coding Checklist'!B10:B227,A15)</f>
        <v>7</v>
      </c>
      <c r="C15" s="2">
        <f>COUNTIFS('Secure Coding Checklist'!B10:B227,A15,'Secure Coding Checklist'!E10:E227,"Pass")</f>
        <v>0</v>
      </c>
      <c r="D15" s="2">
        <f>COUNTIFS('Secure Coding Checklist'!B10:B227,A15,'Secure Coding Checklist'!E10:E227,"Fail")</f>
        <v>0</v>
      </c>
    </row>
    <row r="16" spans="1:4" x14ac:dyDescent="0.3">
      <c r="A16" s="2" t="s">
        <v>66</v>
      </c>
      <c r="B16" s="2">
        <f>COUNTIF('Secure Coding Checklist'!B10:B227,A16)</f>
        <v>35</v>
      </c>
      <c r="C16" s="2">
        <f>COUNTIFS('Secure Coding Checklist'!B10:B227,A16,'Secure Coding Checklist'!E10:E227,"Pass")</f>
        <v>0</v>
      </c>
      <c r="D16" s="2">
        <f>COUNTIFS('Secure Coding Checklist'!B10:B227,A16,'Secure Coding Checklist'!E10:E227,"Fail")</f>
        <v>0</v>
      </c>
    </row>
    <row r="17" spans="1:4" x14ac:dyDescent="0.3">
      <c r="A17" s="2" t="s">
        <v>137</v>
      </c>
      <c r="B17" s="2">
        <f>COUNTIF('Secure Coding Checklist'!B10:B227,A17)</f>
        <v>20</v>
      </c>
      <c r="C17" s="2">
        <f>COUNTIFS('Secure Coding Checklist'!B10:B227,A17,'Secure Coding Checklist'!E10:E227,"Pass")</f>
        <v>0</v>
      </c>
      <c r="D17" s="2">
        <f>COUNTIFS('Secure Coding Checklist'!B10:B227,A17,'Secure Coding Checklist'!E10:E227,"Fail")</f>
        <v>0</v>
      </c>
    </row>
    <row r="18" spans="1:4" x14ac:dyDescent="0.3">
      <c r="A18" s="2" t="s">
        <v>178</v>
      </c>
      <c r="B18" s="2">
        <f>COUNTIF('Secure Coding Checklist'!B10:B227,A18)</f>
        <v>24</v>
      </c>
      <c r="C18" s="2">
        <f>COUNTIFS('Secure Coding Checklist'!B10:B227,A18,'Secure Coding Checklist'!E10:E227,"Pass")</f>
        <v>0</v>
      </c>
      <c r="D18" s="2">
        <f>COUNTIFS('Secure Coding Checklist'!B10:B227,A18,'Secure Coding Checklist'!E10:E227,"Fail")</f>
        <v>0</v>
      </c>
    </row>
    <row r="19" spans="1:4" x14ac:dyDescent="0.3">
      <c r="A19" s="2" t="s">
        <v>227</v>
      </c>
      <c r="B19" s="2">
        <f>COUNTIF('Secure Coding Checklist'!B10:B227,A19)</f>
        <v>6</v>
      </c>
      <c r="C19" s="2">
        <f>COUNTIFS('Secure Coding Checklist'!B10:B227,A19,'Secure Coding Checklist'!E10:E227,"Pass")</f>
        <v>0</v>
      </c>
      <c r="D19" s="2">
        <f>COUNTIFS('Secure Coding Checklist'!B10:B227,A19,'Secure Coding Checklist'!E10:E227,"Fail")</f>
        <v>0</v>
      </c>
    </row>
    <row r="20" spans="1:4" x14ac:dyDescent="0.3">
      <c r="A20" s="2" t="s">
        <v>240</v>
      </c>
      <c r="B20" s="2">
        <f>COUNTIF('Secure Coding Checklist'!B10:B227,A20)</f>
        <v>24</v>
      </c>
      <c r="C20" s="2">
        <f>COUNTIFS('Secure Coding Checklist'!B10:B227,A20,'Secure Coding Checklist'!E10:E227,"Pass")</f>
        <v>0</v>
      </c>
      <c r="D20" s="2">
        <f>COUNTIFS('Secure Coding Checklist'!B10:B227,A20,'Secure Coding Checklist'!E10:E227,"Fail")</f>
        <v>0</v>
      </c>
    </row>
    <row r="21" spans="1:4" x14ac:dyDescent="0.3">
      <c r="A21" s="2" t="s">
        <v>289</v>
      </c>
      <c r="B21" s="2">
        <f>COUNTIF('Secure Coding Checklist'!B10:B227,A21)</f>
        <v>12</v>
      </c>
      <c r="C21" s="2">
        <f>COUNTIFS('Secure Coding Checklist'!B10:B227,A21,'Secure Coding Checklist'!E10:E227,"Pass")</f>
        <v>0</v>
      </c>
      <c r="D21" s="2">
        <f>COUNTIFS('Secure Coding Checklist'!B10:B227,A21,'Secure Coding Checklist'!E10:E227,"Fail")</f>
        <v>0</v>
      </c>
    </row>
    <row r="22" spans="1:4" x14ac:dyDescent="0.3">
      <c r="A22" s="2" t="s">
        <v>314</v>
      </c>
      <c r="B22" s="2">
        <f>COUNTIF('Secure Coding Checklist'!B10:B227,A22)</f>
        <v>8</v>
      </c>
      <c r="C22" s="2">
        <f>COUNTIFS('Secure Coding Checklist'!B10:B227,A22,'Secure Coding Checklist'!E10:E227,"Pass")</f>
        <v>0</v>
      </c>
      <c r="D22" s="2">
        <f>COUNTIFS('Secure Coding Checklist'!B10:B227,A22,'Secure Coding Checklist'!E10:E227,"Fail")</f>
        <v>0</v>
      </c>
    </row>
    <row r="23" spans="1:4" x14ac:dyDescent="0.3">
      <c r="A23" s="2" t="s">
        <v>331</v>
      </c>
      <c r="B23" s="2">
        <f>COUNTIF('Secure Coding Checklist'!B10:B227,A23)</f>
        <v>16</v>
      </c>
      <c r="C23" s="2">
        <f>COUNTIFS('Secure Coding Checklist'!B10:B227,A23,'Secure Coding Checklist'!E10:E227,"Pass")</f>
        <v>0</v>
      </c>
      <c r="D23" s="2">
        <f>COUNTIFS('Secure Coding Checklist'!B10:B227,A23,'Secure Coding Checklist'!E10:E227,"Fail")</f>
        <v>0</v>
      </c>
    </row>
    <row r="24" spans="1:4" x14ac:dyDescent="0.3">
      <c r="A24" s="2" t="s">
        <v>364</v>
      </c>
      <c r="B24" s="2">
        <f>COUNTIF('Secure Coding Checklist'!B10:B227,A24)</f>
        <v>13</v>
      </c>
      <c r="C24" s="2">
        <f>COUNTIFS('Secure Coding Checklist'!B10:B227,A24,'Secure Coding Checklist'!E10:E227,"Pass")</f>
        <v>0</v>
      </c>
      <c r="D24" s="2">
        <f>COUNTIFS('Secure Coding Checklist'!B10:B227,A24,'Secure Coding Checklist'!E10:E227,"Fail")</f>
        <v>0</v>
      </c>
    </row>
    <row r="25" spans="1:4" x14ac:dyDescent="0.3">
      <c r="A25" s="2" t="s">
        <v>391</v>
      </c>
      <c r="B25" s="2">
        <f>COUNTIF('Secure Coding Checklist'!B10:B227,A25)</f>
        <v>14</v>
      </c>
      <c r="C25" s="2">
        <f>COUNTIFS('Secure Coding Checklist'!B10:B227,A25,'Secure Coding Checklist'!E10:E227,"Pass")</f>
        <v>0</v>
      </c>
      <c r="D25" s="2">
        <f>COUNTIFS('Secure Coding Checklist'!B10:B227,A25,'Secure Coding Checklist'!E10:E227,"Fail")</f>
        <v>0</v>
      </c>
    </row>
    <row r="26" spans="1:4" x14ac:dyDescent="0.3">
      <c r="A26" s="2" t="s">
        <v>420</v>
      </c>
      <c r="B26" s="2">
        <f>COUNTIF('Secure Coding Checklist'!B10:B227,A26)</f>
        <v>10</v>
      </c>
      <c r="C26" s="2">
        <f>COUNTIFS('Secure Coding Checklist'!B10:B227,A26,'Secure Coding Checklist'!E10:E227,"Pass")</f>
        <v>0</v>
      </c>
      <c r="D26" s="2">
        <f>COUNTIFS('Secure Coding Checklist'!B10:B227,A26,'Secure Coding Checklist'!E10:E227,"Fail")</f>
        <v>0</v>
      </c>
    </row>
    <row r="27" spans="1:4" x14ac:dyDescent="0.3">
      <c r="A27" s="2" t="s">
        <v>441</v>
      </c>
      <c r="B27" s="2">
        <f>COUNTIF('Secure Coding Checklist'!B10:B227,A27)</f>
        <v>12</v>
      </c>
      <c r="C27" s="2">
        <f>COUNTIFS('Secure Coding Checklist'!B10:B227,A27,'Secure Coding Checklist'!E10:E227,"Pass")</f>
        <v>0</v>
      </c>
      <c r="D27" s="2">
        <f>COUNTIFS('Secure Coding Checklist'!B10:B227,A27,'Secure Coding Checklist'!E10:E227,"Fail")</f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Secure Coding Checklist</vt:lpstr>
      <vt:lpstr>Summary</vt:lpstr>
      <vt:lpstr>'Secure Coding Checklist'!Print_Titles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OWASP Secure Coding Practices Checklist</dc:title>
  <dc:subject>Engineer checklist with pass marks, status dropdowns, evidence, and summary</dc:subject>
  <dc:creator>OpenAI</dc:creator>
  <cp:lastModifiedBy>Sirajuddin Sankanur</cp:lastModifiedBy>
  <dcterms:created xsi:type="dcterms:W3CDTF">2026-10-10T08:34:49Z</dcterms:created>
  <dcterms:modified xsi:type="dcterms:W3CDTF">2026-10-10T08:36:16Z</dcterms:modified>
</cp:coreProperties>
</file>